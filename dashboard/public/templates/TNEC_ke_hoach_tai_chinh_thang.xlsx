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TNG\NGOC PHU\16 BAO CAO KHTC\02 KE HOACH CHI TUAN\01 T7.2026\"/>
    </mc:Choice>
  </mc:AlternateContent>
  <xr:revisionPtr revIDLastSave="4" documentId="8_{48BDC59D-DD2B-4BAC-8AB5-6706E2BFAB1E}" xr6:coauthVersionLast="36" xr6:coauthVersionMax="47" xr10:uidLastSave="{199C7E87-D590-4118-AF44-A97A59398C92}"/>
  <bookViews>
    <workbookView xWindow="-120" yWindow="-120" windowWidth="29040" windowHeight="15720" xr2:uid="{A52E38E7-0369-4162-B586-64F52BCC31B8}"/>
  </bookViews>
  <sheets>
    <sheet name="26.T8.W" sheetId="25" r:id="rId1"/>
    <sheet name="T.06.W3" sheetId="24" state="hidden" r:id="rId2"/>
    <sheet name="T.06.W2" sheetId="23" state="hidden" r:id="rId3"/>
    <sheet name="T.06.W1" sheetId="22" state="hidden" r:id="rId4"/>
    <sheet name="T05.W4" sheetId="21" state="hidden" r:id="rId5"/>
    <sheet name="T05.W3" sheetId="20" state="hidden" r:id="rId6"/>
    <sheet name="T05.W2" sheetId="19" state="hidden" r:id="rId7"/>
    <sheet name="T04.W5" sheetId="18" state="hidden" r:id="rId8"/>
    <sheet name="T04.W4" sheetId="17" state="hidden" r:id="rId9"/>
    <sheet name="T04.W3" sheetId="16" state="hidden" r:id="rId10"/>
    <sheet name="T04.W2" sheetId="15" state="hidden" r:id="rId11"/>
    <sheet name="T04.W1" sheetId="14" state="hidden" r:id="rId12"/>
    <sheet name="T03.W4" sheetId="13" state="hidden" r:id="rId13"/>
    <sheet name="T03.W3" sheetId="12" state="hidden" r:id="rId14"/>
    <sheet name="T03.W2" sheetId="11" state="hidden" r:id="rId15"/>
    <sheet name="W1" sheetId="9" state="hidden" r:id="rId16"/>
    <sheet name="W2.M2 (2)" sheetId="10" state="hidden" r:id="rId17"/>
    <sheet name="W3.M1" sheetId="7" state="hidden" r:id="rId18"/>
    <sheet name="W1,M2" sheetId="8" state="hidden" r:id="rId19"/>
    <sheet name="W4.M1" sheetId="6" state="hidden" r:id="rId20"/>
    <sheet name="W1.M1" sheetId="5" state="hidden" r:id="rId21"/>
    <sheet name="W5.M12" sheetId="3" state="hidden" r:id="rId22"/>
    <sheet name="W4.M12" sheetId="4" state="hidden" r:id="rId23"/>
  </sheets>
  <definedNames>
    <definedName name="_xlnm._FilterDatabase" localSheetId="0" hidden="1">'26.T8.W'!$A$16:$M$16</definedName>
    <definedName name="_xlnm._FilterDatabase" localSheetId="3" hidden="1">'T.06.W1'!$A$15:$M$22</definedName>
    <definedName name="_xlnm._FilterDatabase" localSheetId="2" hidden="1">'T.06.W2'!$A$15:$M$19</definedName>
    <definedName name="_xlnm._FilterDatabase" localSheetId="1" hidden="1">'T.06.W3'!$A$15:$M$19</definedName>
    <definedName name="_xlnm._FilterDatabase" localSheetId="14" hidden="1">'T03.W2'!$A$14:$M$27</definedName>
    <definedName name="_xlnm._FilterDatabase" localSheetId="13" hidden="1">'T03.W3'!$A$14:$M$26</definedName>
    <definedName name="_xlnm._FilterDatabase" localSheetId="12" hidden="1">'T03.W4'!$A$14:$M$26</definedName>
    <definedName name="_xlnm._FilterDatabase" localSheetId="11" hidden="1">'T04.W1'!$A$14:$M$24</definedName>
    <definedName name="_xlnm._FilterDatabase" localSheetId="10" hidden="1">'T04.W2'!$A$14:$M$23</definedName>
    <definedName name="_xlnm._FilterDatabase" localSheetId="9" hidden="1">'T04.W3'!$A$14:$M$23</definedName>
    <definedName name="_xlnm._FilterDatabase" localSheetId="8" hidden="1">'T04.W4'!$A$14:$M$22</definedName>
    <definedName name="_xlnm._FilterDatabase" localSheetId="7" hidden="1">'T04.W5'!$A$14:$M$21</definedName>
    <definedName name="_xlnm._FilterDatabase" localSheetId="6" hidden="1">'T05.W2'!$A$14:$M$21</definedName>
    <definedName name="_xlnm._FilterDatabase" localSheetId="5" hidden="1">'T05.W3'!$A$14:$M$21</definedName>
    <definedName name="_xlnm._FilterDatabase" localSheetId="4" hidden="1">'T05.W4'!$A$14:$M$21</definedName>
    <definedName name="_xlnm._FilterDatabase" localSheetId="15" hidden="1">'W1'!$A$14:$M$30</definedName>
    <definedName name="_xlnm._FilterDatabase" localSheetId="18" hidden="1">'W1,M2'!$A$15:$L$35</definedName>
    <definedName name="_xlnm._FilterDatabase" localSheetId="20" hidden="1">'W1.M1'!$A$15:$L$41</definedName>
    <definedName name="_xlnm._FilterDatabase" localSheetId="16" hidden="1">'W2.M2 (2)'!$A$14:$M$21</definedName>
    <definedName name="_xlnm._FilterDatabase" localSheetId="17" hidden="1">'W3.M1'!$A$15:$L$42</definedName>
    <definedName name="_xlnm._FilterDatabase" localSheetId="19" hidden="1">'W4.M1'!$A$15:$L$36</definedName>
    <definedName name="_xlnm._FilterDatabase" localSheetId="22" hidden="1">'W4.M12'!$A$15:$L$41</definedName>
    <definedName name="_xlnm._FilterDatabase" localSheetId="21" hidden="1">'W5.M12'!$A$16:$M$43</definedName>
    <definedName name="_Hlk217550945" localSheetId="21">'W5.M12'!$F$24</definedName>
    <definedName name="_xlnm.Print_Area" localSheetId="0">'26.T8.W'!$A$1:$K$30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9" i="25" l="1"/>
  <c r="A19" i="25" l="1"/>
  <c r="A20" i="25" s="1"/>
  <c r="A21" i="25" s="1"/>
  <c r="A22" i="25" s="1"/>
  <c r="A23" i="25" s="1"/>
  <c r="A24" i="25" s="1"/>
  <c r="A25" i="25" s="1"/>
  <c r="A26" i="25" s="1"/>
  <c r="A27" i="25" s="1"/>
  <c r="A28" i="25" s="1"/>
  <c r="A18" i="25" l="1"/>
  <c r="F18" i="17" l="1"/>
  <c r="F16" i="12"/>
  <c r="F15" i="12"/>
  <c r="F16" i="11"/>
  <c r="F15" i="11"/>
  <c r="F16" i="9"/>
  <c r="F15" i="9"/>
  <c r="N19" i="10"/>
  <c r="F22" i="10"/>
  <c r="A16" i="7" l="1"/>
  <c r="A17" i="7" s="1"/>
  <c r="A18" i="7" s="1"/>
  <c r="A19" i="7" s="1"/>
  <c r="A20" i="7" s="1"/>
  <c r="A21" i="7" s="1"/>
  <c r="A22" i="7" s="1"/>
  <c r="A23" i="7" s="1"/>
  <c r="A24" i="7" s="1"/>
  <c r="A25" i="7" s="1"/>
</calcChain>
</file>

<file path=xl/sharedStrings.xml><?xml version="1.0" encoding="utf-8"?>
<sst xmlns="http://schemas.openxmlformats.org/spreadsheetml/2006/main" count="1993" uniqueCount="339">
  <si>
    <t>STT</t>
  </si>
  <si>
    <t>TÊN DỰ ÁN</t>
  </si>
  <si>
    <t>VP HCM</t>
  </si>
  <si>
    <t>ĐIỆN MẶT TRỜI TRÀ VINH</t>
  </si>
  <si>
    <t>CÀ NÁ</t>
  </si>
  <si>
    <t>RẠCH XUYÊN TÂM</t>
  </si>
  <si>
    <t>HƯƠNG LỘ 11</t>
  </si>
  <si>
    <t>VP ĐÀ NẴNG</t>
  </si>
  <si>
    <t>XLNT TÂY NINH</t>
  </si>
  <si>
    <t>DA VP 42 CHU MẠNH TRINH</t>
  </si>
  <si>
    <t>BANK+THUẾ</t>
  </si>
  <si>
    <t>CHI PHÍ QUẢN LÝ</t>
  </si>
  <si>
    <t>Phòng ban</t>
  </si>
  <si>
    <t>Khách hàng</t>
  </si>
  <si>
    <t>Nội dung</t>
  </si>
  <si>
    <t>Số tiền thanh toán</t>
  </si>
  <si>
    <t>Nguồn tiền</t>
  </si>
  <si>
    <t>Tuần</t>
  </si>
  <si>
    <t>Tháng</t>
  </si>
  <si>
    <t>Ngày Thanh toán</t>
  </si>
  <si>
    <t>Chi</t>
  </si>
  <si>
    <t>Tuần 1</t>
  </si>
  <si>
    <t>TỪ CỘT C-&gt;G BẮT BUỘC ĐIỀN</t>
  </si>
  <si>
    <t>Dự án( Chọn theo tên dự án sẵn)</t>
  </si>
  <si>
    <t xml:space="preserve">Thu </t>
  </si>
  <si>
    <t>P. KHDA</t>
  </si>
  <si>
    <t>Công ty CP TV Kiểm định và Xây dựng công trình 36</t>
  </si>
  <si>
    <t>Tạm ứng Hợp đồng thí nghiệm</t>
  </si>
  <si>
    <t>BCHCT</t>
  </si>
  <si>
    <t>Chi phí cho UBND hỗ trợ mặt bằng tập kết vật tư ống</t>
  </si>
  <si>
    <t>Loại (Chọn)</t>
  </si>
  <si>
    <t>Công ty TNHH Thương mại Kỹ thuật Xây dựng Toàn Thắng</t>
  </si>
  <si>
    <t>Thanh toán đợt 1</t>
  </si>
  <si>
    <t>Công ty TNHH Xây dựng Phước Vạn Thịnh</t>
  </si>
  <si>
    <t>Tạm ứng Hợp đồng giao khoán</t>
  </si>
  <si>
    <t>UBND tỉnh Tây Ninh</t>
  </si>
  <si>
    <t>CĐT</t>
  </si>
  <si>
    <t>Giải tỏa tạm ứng từ tài khoản chuyên chi</t>
  </si>
  <si>
    <t>Chi phí hoạt động</t>
  </si>
  <si>
    <t>Tạm ứng HĐ A-B</t>
  </si>
  <si>
    <t>Tỉnh lộ 8</t>
  </si>
  <si>
    <t>Công ty TNHH SX TM DV ĐTXD ST 16</t>
  </si>
  <si>
    <t>Thanh toán đơn đặt hàng 01</t>
  </si>
  <si>
    <t>Tạm ứng  30 % Hợp đồng thí nghiệm</t>
  </si>
  <si>
    <t xml:space="preserve">Đề xuất tạm ứng lần 2 </t>
  </si>
  <si>
    <t>CÔNG TY TNHH XD &amp; TM YÊN PHÚC</t>
  </si>
  <si>
    <t>Tạm ứng Hợp đồng giao khoán thi công</t>
  </si>
  <si>
    <t>Cầu Mã Đà</t>
  </si>
  <si>
    <t xml:space="preserve">thu </t>
  </si>
  <si>
    <t>chị</t>
  </si>
  <si>
    <t>Thanh toán phần còn lại của TT đợt 01</t>
  </si>
  <si>
    <t>Chi phí hoạt động BCHCT</t>
  </si>
  <si>
    <t>Công ty TNHH MTV XD &amp; Thương mại Song Phú</t>
  </si>
  <si>
    <t>Công ty TNHH MTV Thương mại &amp; DV Dương Đông</t>
  </si>
  <si>
    <t>Tạm ứng 30%</t>
  </si>
  <si>
    <t>Công Ty TNHH XD TM DV SX Phát Hưng Khang</t>
  </si>
  <si>
    <t>Tạm ứng cho đơn vị thí nghiệm</t>
  </si>
  <si>
    <t>Công ty TNHH TM KT XD Toàn Thắng</t>
  </si>
  <si>
    <t>Công ty TNHH Giải pháp MT Đại Nam</t>
  </si>
  <si>
    <t>Thanh toán đợt 01</t>
  </si>
  <si>
    <t>Ta</t>
  </si>
  <si>
    <t>Công Ty TNHH Xuân Sơn Hải Dương</t>
  </si>
  <si>
    <t>Công Ty TNHH Xây Dựng Và Thương Mại Yên Phúc</t>
  </si>
  <si>
    <t>chi</t>
  </si>
  <si>
    <t>Công ty TNHH MTV Đô la Thành</t>
  </si>
  <si>
    <t>Công ty TNHH MTV CQ</t>
  </si>
  <si>
    <t>Thanh toán đợt 1 (Hoàn thiện 1000 cọc đợt 1) - HĐ 1011/HĐNT/ TNE&amp;C-SHD</t>
  </si>
  <si>
    <t>Thanh toán đợt 1 (Hoàn thiện 1000 cọc đợt 1) - HĐ 1011/HĐNT/ TNE&amp;C-YENPHUC</t>
  </si>
  <si>
    <t xml:space="preserve">Tạm ứng HĐ 2108/2025/HĐNT/TNE&amp;C-ĐLT </t>
  </si>
  <si>
    <t xml:space="preserve">Tạm ứng HĐ 2108/2025/HĐNT/TNE&amp;C-CQ </t>
  </si>
  <si>
    <t>Tạm ứng HĐ 0108/2025/HĐNT/TNCNIZ-TNE&amp;C</t>
  </si>
  <si>
    <t>Công ty Cổ phần đầu tư Hạ tầng khu Công nghiệp Trung Nam Cà Ná</t>
  </si>
  <si>
    <t>Ban Quản lý dự án đầu tư xây dựng tỉnh Tây Ninh</t>
  </si>
  <si>
    <t>Chi phí hoạt động BCHCT Tháng 02/2026</t>
  </si>
  <si>
    <t>Ban chỉ huy công trường</t>
  </si>
  <si>
    <t>Công ty cổ phần điện mặt trời Trung Nam Trà Vinh</t>
  </si>
  <si>
    <t>Tạm ứng HĐ 2211/2025/HĐNT/TNTVSP-TNEC&amp;SMC(không bao gồm tạm ứng Bơm cát)</t>
  </si>
  <si>
    <t>Thanh toán đợt 01HĐ 0812/HĐTP/TNE&amp;C-ĐAINAM (phần còn lại)</t>
  </si>
  <si>
    <t>Tạm ứng HĐ 0812/HĐTP/TNE&amp;C-ĐAINAM (giãi toã chuyên chi)</t>
  </si>
  <si>
    <t>HẠ TẦNG THƯỜNG PHƯỚC</t>
  </si>
  <si>
    <t>Tạm ứng HĐ /HĐTP/TNE&amp;C-KINH BAC  (chính danh)</t>
  </si>
  <si>
    <t>Công ty Kinh Bắc</t>
  </si>
  <si>
    <t>Tạm ứng 30% HĐ chính danh số 2512/2025/HĐTCXD/TNE&amp;C-SP ngày 25/12/2025</t>
  </si>
  <si>
    <t>Thanh toán đợt 1 hoàn thành đúc 1000 cọc bê tông cốt thép</t>
  </si>
  <si>
    <t>Công ty TNHH Xây dựng và Thương mại Yên Phúc.</t>
  </si>
  <si>
    <t>KHDA</t>
  </si>
  <si>
    <t>CÔNG TY TNHH XD MINH KHANG</t>
  </si>
  <si>
    <t>THƯỜNG PHƯỚC</t>
  </si>
  <si>
    <t>CÔNG TY CÔNG TY TNHH VINGO LAND</t>
  </si>
  <si>
    <t>CÔNG TY CỔ PHẦN SẢN XUẤT VÀ DỊCH VỤ TỔNG HỢP KINH BẮC</t>
  </si>
  <si>
    <t>CÔNG TY CỔ PHẦN DỊCH VỤ và KỸ THUẬT SMC</t>
  </si>
  <si>
    <t>TỈNH LỘ 8</t>
  </si>
  <si>
    <t>Thu</t>
  </si>
  <si>
    <t>CĐT TÂY NINH</t>
  </si>
  <si>
    <t>CĐT Ban QLDA tỉnh An Giang</t>
  </si>
  <si>
    <t>Thanh toán khối lượng đợt 01</t>
  </si>
  <si>
    <t>Tạm ứng hợp đồng giao khoán (Chưa ký HĐ)</t>
  </si>
  <si>
    <t>Tạm ứng hợp đồng mua bán  (Chưa ký HĐ)</t>
  </si>
  <si>
    <t>Tạm ứng hợp đồng giao khoán  (Chưa ký HĐ)</t>
  </si>
  <si>
    <t>Tạm ứng hợp đồng thầu phụ chính danh  (Chưa ký HĐ)</t>
  </si>
  <si>
    <t>Tạm ứng HĐ thí nghiệm 24/2025/HĐTN/MD-TN</t>
  </si>
  <si>
    <t>Công ty TNHH Tư vấn Xây dựng Miền Đông</t>
  </si>
  <si>
    <t>Ban điều hành dự án: Nhà máy điện mặt trời Trà Vinh - GĐ2</t>
  </si>
  <si>
    <t>Thanh toán đợt 2 hoàn thành đúc 2000 cọc bê tông cốt thép</t>
  </si>
  <si>
    <t>Phòng KHDA</t>
  </si>
  <si>
    <t>Công ty Cổ phần điện mặt trời Trung Nam Trà Vinh</t>
  </si>
  <si>
    <t>Tạm ứng HĐ nguyên tắc đợt 1 - 0108/2025/HĐNT/TNCNIZ-TNE&amp;C</t>
  </si>
  <si>
    <t>Ban ĐH XLNT TN</t>
  </si>
  <si>
    <t>Thanh toán phần còn lại của TT đợt 01- HD2500168203_2510181522</t>
  </si>
  <si>
    <t>Thanh toán đợt 02 - 0711025/HĐGK/TNE&amp;C-TOANTHANG</t>
  </si>
  <si>
    <t>Thanh toán đợt 02 - 0812/HĐTP/TNE&amp;C-DAINAM</t>
  </si>
  <si>
    <t>Thanh toán khối lượng đợt 02 - HD2500168203_2510181522</t>
  </si>
  <si>
    <t>CÔNG TY TNHH XÂY DỰNG PHƯỚC VẠN THỊNH</t>
  </si>
  <si>
    <t>Thanh toán giá trị khối lượng hoàn thành đợt 01 HĐ số 22/025/HĐTP/TNE&amp;C-PVT ký ngày 20/10/2025</t>
  </si>
  <si>
    <t>Công ty Cổ phần Lọc hóa dầu Bình Sơn</t>
  </si>
  <si>
    <t xml:space="preserve">Tạm ứng HĐ số 129-2026/HĐ/BSR-TRUNG NAM E&amp;C </t>
  </si>
  <si>
    <t>Dung Quất</t>
  </si>
  <si>
    <t>Công ty Cổ phần Dịch vụ kỹ thuật SMC</t>
  </si>
  <si>
    <t>Tạm ứng HĐ thầu phụ số 2401/2026/HĐTCXD/TNE&amp;C-SMC</t>
  </si>
  <si>
    <t>Thanh toán hoàn thành 1000 cọc đợt 2</t>
  </si>
  <si>
    <t>Tạm ứng hợp đồng mua bán số 0501/2026/HĐMB/TNE&amp;C-MK</t>
  </si>
  <si>
    <t>Tạm ứng hợp đồng giao khoán số 0701/2026/HĐGK/TNE&amp;C-VGL</t>
  </si>
  <si>
    <t>CĐT BLDA Dân Dụng TÂY NINH</t>
  </si>
  <si>
    <t>Ban QLDA Giao thông HCM</t>
  </si>
  <si>
    <t>Tạm ứng giao khoán Nhân công, máy thi công , TNEC-SMC (Giải ngân Tk chuyên chi) lần 1</t>
  </si>
  <si>
    <t>Tạm ứng chi phí quản lý ,điều hành thi công(Giải ngân Tk chuyên chi) lần 1</t>
  </si>
  <si>
    <t>Tổng cộng</t>
  </si>
  <si>
    <t>Tạm ứng HĐ nguyên tắc đợt 1 - 0108/2025/HĐNT/TNCNIZ-TNE&amp;C (lần 1)</t>
  </si>
  <si>
    <t>Tạm ứng HĐ nguyên tắc đợt 1 - 0108/2025/HĐNT/TNCNIZ-TNE&amp;C (lần 2)</t>
  </si>
  <si>
    <t>Thời gian dự kiến</t>
  </si>
  <si>
    <t>Dung Quất- CDT BSR</t>
  </si>
  <si>
    <t>Tạm ứng chi phí quản lý ,điều hành thi công (Giải ngân Tk chuyên chi) lần 1</t>
  </si>
  <si>
    <t>Công ty TNHH Xây dựng và Thương mại Yên Phúc</t>
  </si>
  <si>
    <t>Chi phí hoạt động BĐH</t>
  </si>
  <si>
    <t>Công ty TNHH Đầu tư XD và MT Huy Hoàng</t>
  </si>
  <si>
    <t>Thanh toán lần 1 - 2601/HDTC/TNE&amp;C-HH</t>
  </si>
  <si>
    <t>Tạm ứng giá trị sản lượng hoàn thành</t>
  </si>
  <si>
    <t>Rạch Xuyên tâm</t>
  </si>
  <si>
    <t>Tạm ứng HĐ giao khoán (chưa ký HĐ)</t>
  </si>
  <si>
    <t>Tạm ứng HĐ giao khoán số 0203/2026/HĐGK/TNE&amp;C-SMC</t>
  </si>
  <si>
    <t>Công ty CP Xây dựng Hoa Sen</t>
  </si>
  <si>
    <t>Thanh toán phần còn lại của TT đợt 01 + TT đợt 02 -  HD2500168203_2510181522</t>
  </si>
  <si>
    <t>BCH CT KCN Cà Ná</t>
  </si>
  <si>
    <t>Tạm ứng CP hoạt động BCHCT</t>
  </si>
  <si>
    <t>Tạm ứng hợp đồng thầu phụ chính danh số 0502/2026/HĐTCXD/TNE&amp;C-KB</t>
  </si>
  <si>
    <t>CÔNG TY CỔ PHẦN XÂY DỰNG HOA SEN</t>
  </si>
  <si>
    <t>Tạm ứng hợp đồng giao khoán số 10/03/2026/HĐGK/TNE&amp;C-HS</t>
  </si>
  <si>
    <t>Thanh toán đợt 01+ 02 - 0812/HĐTP/TNE&amp;C-DAINAM</t>
  </si>
  <si>
    <t>BĐH Nhà máy điện mặt trời Trà Vinh</t>
  </si>
  <si>
    <t>Công ty TNHH Xuân Sơn Hải Dương</t>
  </si>
  <si>
    <t>Thanh toán đợt 3 (Hoàn thành 1000/3000/5400 cọc)</t>
  </si>
  <si>
    <t>Công ty TNHH và thương mại Yên Phúc</t>
  </si>
  <si>
    <t>CÔNG TY CỔ PHẦN THỦY ĐIỆN TRUNG NAM</t>
  </si>
  <si>
    <t>Tạm ứng hợp đồng nguyên tắc số 0602/20265/HĐNT/TNP-SMC&amp;TNEC</t>
  </si>
  <si>
    <t>Công ty TNHH Nga Hải</t>
  </si>
  <si>
    <t>Tạm ứng hợp đồng số 25/03/2026/HĐTCXD/TNE&amp;C-NH ngày 25/03/2026</t>
  </si>
  <si>
    <t>Điện nổi ĐN2</t>
  </si>
  <si>
    <t>Công ty TNHH Environ World</t>
  </si>
  <si>
    <t>Tạm ứng HĐGK 0603/2026/HĐGK/TNE&amp;C-DAINAM ngày 06/03/2026</t>
  </si>
  <si>
    <t>Tạm ứng HĐ cung cấp vật tư 1002/HĐMB/TNE&amp;C-EVR ngày 10/02/2026</t>
  </si>
  <si>
    <t>XLNT Tây Ninh</t>
  </si>
  <si>
    <t>Công Ty Cổ Phần Tập Đoàn Quang Phúc</t>
  </si>
  <si>
    <t xml:space="preserve">Tạm ứng hợp đồng số 16/03/2026/HĐTC/TNE&amp;C-QP </t>
  </si>
  <si>
    <t>Thanh toán HĐ cung cấp vật tư 1002/HĐMB/TNE&amp;C-EVR ngày 10/02/2027</t>
  </si>
  <si>
    <t>Ban QLDAĐTXD các công trình dân dụng tỉnh Tây Ninh</t>
  </si>
  <si>
    <t>Thanh toán đợt 3 HD2500168203_2510181522</t>
  </si>
  <si>
    <t>Thanh toán đợt 03 - 0812/HĐTP/TNE&amp;C-DAINAM</t>
  </si>
  <si>
    <t>Thanh toán đợt 01 - 0603/HĐGK/TNE&amp;C-DAINAM</t>
  </si>
  <si>
    <t>Thanh toán đợt 03 - 0711025/HĐGK/TNE&amp;C-TOANTHANG</t>
  </si>
  <si>
    <t>CÔNG TY TNHH MTV XÂY DỰNG THÀNH HÂN</t>
  </si>
  <si>
    <t xml:space="preserve">Tạm ứng theo HĐNT số 2303/2026/HĐNT/TNEC-TH </t>
  </si>
  <si>
    <t>BAN QUẢN LÝ ĐẦU TƯ VÀ XÂY DỰNG THỦY LỢI 10</t>
  </si>
  <si>
    <t>Tạm ứng hợp đồng điện tử số HD2600063179_2603301653</t>
  </si>
  <si>
    <t>Tạm ứng hợp đồng số 16/03/2026/HĐTC/TNE&amp;C-QP</t>
  </si>
  <si>
    <t>Thanh toán khối lượng đợt 03 - HD2500168203_2510181522</t>
  </si>
  <si>
    <t>Thanh toán nhân công đợt 1 - 0603/2026/HĐGK/TNE&amp;C-ĐN</t>
  </si>
  <si>
    <t>BĐH Dự án ĐMT Trà Vinh</t>
  </si>
  <si>
    <t>Thanh toán hoàn thành đợt 3 2000 cọc 220x220x3900mm</t>
  </si>
  <si>
    <t>Công ty TNHH xây dựng và thương mại Yên Phúc</t>
  </si>
  <si>
    <t>Vàm Lẽo</t>
  </si>
  <si>
    <t>Công ty TNHH Enviro World</t>
  </si>
  <si>
    <t>Thanh toán vật tư đợt 1 - 1002/2026/HĐMB/TNE&amp;C-EVR</t>
  </si>
  <si>
    <t>BĐHDA</t>
  </si>
  <si>
    <t>CÔNG TY TNHH XD VT TM CHÍ PHÚC</t>
  </si>
  <si>
    <t>Tạm ứng CP</t>
  </si>
  <si>
    <t>HĐ XD lán trại BĐH</t>
  </si>
  <si>
    <t>Công ty TNHH XD trang trí nội thất C.A.S VN</t>
  </si>
  <si>
    <t>HĐ thuê đóng cọc &amp; khung vây</t>
  </si>
  <si>
    <t>Nhà thầu giao khoán</t>
  </si>
  <si>
    <t>Dự kiến tạm ứng HĐGK thi công phần mặt bằng, đúc cọc 30%</t>
  </si>
  <si>
    <t>BĐH Dự án Vàm Lẽo</t>
  </si>
  <si>
    <t>Chi phí BĐH dự kiến chuẩn bị trước khởi công</t>
  </si>
  <si>
    <t>Tạm ứng</t>
  </si>
  <si>
    <t>Công ty TNHH Xây dựng hạ tầng Trung Quân</t>
  </si>
  <si>
    <t>Tạm ứng Hợp đồng giao khoán thi công hạng mục măt bằng, đúc cọc</t>
  </si>
  <si>
    <t>Dự kiến tạm ứng Hợp đồng chi phí quản lý tiền lương</t>
  </si>
  <si>
    <t>Nhà máy điện mặt trời Trà Vinh</t>
  </si>
  <si>
    <t>Thanh toán hạng mục kho, bãi chứa Pin</t>
  </si>
  <si>
    <t>Công ty TNHH XD - TM - DV - SX Phát Hưng Khang</t>
  </si>
  <si>
    <t>Thanh toán thí nghiệm đợt 1 - 2410/2025/HĐTN/TNE&amp;C-PHK</t>
  </si>
  <si>
    <t>Công ty Cổ phần tư vấn nền móng và xây dựng Tekco</t>
  </si>
  <si>
    <t>Tạm ứng HĐ thí nghiệm vật liệu xây dựng</t>
  </si>
  <si>
    <t>Viện Chuyên ngành Cơ khí Tự động hóa Đo lường</t>
  </si>
  <si>
    <t>Thanh toán thí nghiệm đợt 1 - hợp đồng số 1004/2026/HĐNT/VCNCK</t>
  </si>
  <si>
    <t>Tạm ứng HĐ thí nghiệm đặc thù</t>
  </si>
  <si>
    <t>CÔNG TY TNHH XÂY DỰNG MINH KHANG</t>
  </si>
  <si>
    <t>Tạm ứng HĐMB Số: 05014/2026/HĐMB/TNE&amp;C-MK ký ngày 10/02/2026</t>
  </si>
  <si>
    <t>CÔNG TY CỔ PHẦN TƯ VẤN KIỂM ĐỊNH CÀ MAU</t>
  </si>
  <si>
    <t>Tạm ứng HĐTN Số: 2104/2026/HĐTN/TNE&amp;C-CM ký ngày 21/4/2026</t>
  </si>
  <si>
    <t>Thường Phước</t>
  </si>
  <si>
    <t>BAN ĐIỀU HÀNH</t>
  </si>
  <si>
    <t>Chi phí ban điều hành tháng 5</t>
  </si>
  <si>
    <t>BĐH</t>
  </si>
  <si>
    <t>BAN ĐIÊU HÀNH</t>
  </si>
  <si>
    <t>CÔNG TY TNHH XÂY DỰNG PHÁT TRIỂN HẠ TẦNG TRUNG QUÂN</t>
  </si>
  <si>
    <t>Tạm ứng lần 2 Hợp đồng giao khoán thi công</t>
  </si>
  <si>
    <t>CÔNG TY TNHH XD TRANG TRÍ NỘI THẤT C.A.S VN</t>
  </si>
  <si>
    <t>Thanh toán giá trị hoàn thành hợp đồng số:1304/2026/HĐXD/TNE&amp;C-CAS ngày 13/04/2026</t>
  </si>
  <si>
    <t>CÔNG TY CỔ PHẦN ĐIỆN MẶT TRỜI TRUNG NAM TRÀ VINH</t>
  </si>
  <si>
    <t>5.000.000.000</t>
  </si>
  <si>
    <t>BAN QUẢN LÝ DỰ ÁN ĐẦU TƯ XÂY DỰNG THÀNH PHỐ ĐỒNG NAI</t>
  </si>
  <si>
    <t>6.379.298.000</t>
  </si>
  <si>
    <t>Thanh toán khối lượng đợt 04 - HD2500168203_2510181522</t>
  </si>
  <si>
    <t>4.879.371.984</t>
  </si>
  <si>
    <t>88.885.613</t>
  </si>
  <si>
    <t>Công ty TNHH Tư vấn thiết kế Thắng Lợi</t>
  </si>
  <si>
    <t>Thanh toán thí nghiệm đợt 1 - 3110/2025/HĐMB/TNE&amp;C-THANGLOI</t>
  </si>
  <si>
    <t>392.102.905</t>
  </si>
  <si>
    <t>P.KHĐT</t>
  </si>
  <si>
    <t>Tạm ứng Lần 2 HĐMB số 0501/2026/HĐMB/TNE&amp;C-MK ký ngày 05/01/2026</t>
  </si>
  <si>
    <t>1.500.000.000</t>
  </si>
  <si>
    <t>CÔNG TY CỔ PHẦN KỸ THUẬT &amp; XÂY DỰNG CÔNG MINH</t>
  </si>
  <si>
    <t>Tạm ứng HĐ số 2804/2026/HĐTCXD/TNE&amp;C-CM ký ngày 28/4/2026</t>
  </si>
  <si>
    <t>10.578.727.776</t>
  </si>
  <si>
    <t>CÔNG TY TNHH MINH KHANG</t>
  </si>
  <si>
    <t>Tạm ứng HĐ số 2304/2026/HĐTP/TNE&amp;C-GTT ký ngày 23/4/2026</t>
  </si>
  <si>
    <t>1.623.526.253</t>
  </si>
  <si>
    <t>Đặt cọc HĐ số 2904/2026/HĐTTB/TQ-TNE&amp;C ký ngày 29/4/2026 (QLDA)</t>
  </si>
  <si>
    <t>105.000.000</t>
  </si>
  <si>
    <t>Tạm ứng lần 2 HĐGK số 2004/202026/HĐGK/TNE&amp;C-TQ ngày 20/04/2026</t>
  </si>
  <si>
    <t>100.000.000</t>
  </si>
  <si>
    <t>CÔNG TY CP THỦY ĐIỆN TRUNG NAM</t>
  </si>
  <si>
    <t>2.000.000.000</t>
  </si>
  <si>
    <t>BĐH Vàm Lẽo</t>
  </si>
  <si>
    <t>Tạm ứng sửa chữa VP QLDA Ban 10 + Chi phí hỗ trợ ăn ở TVGS Ban 10</t>
  </si>
  <si>
    <t>27.000.000</t>
  </si>
  <si>
    <t>CÔNG TY TNHH HỮU BIÊN</t>
  </si>
  <si>
    <t>Tạm ứng HĐGK số 2804/2026/HĐGK/TNE&amp;C-HB ký ngày 28/4/2026</t>
  </si>
  <si>
    <t>300.000.000</t>
  </si>
  <si>
    <t>CÔNG TY TNHH XUÂN SƠN HẢI DƯƠNG</t>
  </si>
  <si>
    <t>799.314.562</t>
  </si>
  <si>
    <t>CÔNG TY TNHH XÂY DỰNG VÀ THƯƠNG MẠI YÊN PHÚC</t>
  </si>
  <si>
    <t>1.599.314.562</t>
  </si>
  <si>
    <t>ĐMT Đồng Nai 2</t>
  </si>
  <si>
    <t>Dự kiến Tạm ứng khối lượng thi công - HĐ 2211/2025/HĐNT/TNTVSP-TNEC&amp;SMC</t>
  </si>
  <si>
    <t>Thanh toán đợt 01 - HĐ 617/2025/HĐXD-XLMĐ</t>
  </si>
  <si>
    <t>Dự kiến Tạm ứng khối lượng thi công - HĐ 0602/2026/HĐNT/TNP-SMC&amp;TNEC</t>
  </si>
  <si>
    <t>Thanh toán phần còn lại HSTT đợt 3 - HĐ 1011/2025/HĐNT/TNE&amp;C-SHD</t>
  </si>
  <si>
    <t>Thanh toán phần còn lại HSTT đợt 3 - HĐ 1011/2025/HĐNT/TNE&amp;C-YENPHUC</t>
  </si>
  <si>
    <t>Công ty TNHH TM &amp; XD Dịch vụ Dương Đông</t>
  </si>
  <si>
    <t>Thanh toán khối lượng hoàn thành đợt 01 Hợp đồng số: 0901/2026/HĐGK/TNE&amp;C-DĐ</t>
  </si>
  <si>
    <t>94.796.308</t>
  </si>
  <si>
    <t>Công ty TNHH Xây dựng và Thương mại Song Phú</t>
  </si>
  <si>
    <t>Thanh toán khối lượng hoàn thành đợt 01 Hợp đồng số: 0901/2026/HĐMB/TNE&amp;C-SP</t>
  </si>
  <si>
    <t>3.052.729.751</t>
  </si>
  <si>
    <t>Thanh toán khối lượng hoàn thành đợt 01 Hợp đồng số: 2512/2025/HĐTCXD/TNE&amp;C-SP</t>
  </si>
  <si>
    <t>3.041.373.370</t>
  </si>
  <si>
    <t>Công ty TNHH XD Trang trí nội thất C.A.S VN</t>
  </si>
  <si>
    <t>Thanh toán khối lượng hoàn thành đợt 01 Hợp đồng số: 1304/2026/HĐMB/TNE&amp;C-C.A.SVN (Giá trị quyết toán hạng mục lán trại ban điều hành Rạch Xuyên Tâm - Giá trị tạm tính)</t>
  </si>
  <si>
    <t>150.749.137</t>
  </si>
  <si>
    <t>Thanh toán khối lượng hoàn thành đợt 01 Hợp đồng số: 0501/2026/HĐMB/TNE&amp;C-MK ký ngày 05/01/2026</t>
  </si>
  <si>
    <t>2.492.762.165</t>
  </si>
  <si>
    <t>Tạm ứng HĐ số 1105/2026/HĐTCXD/TNE&amp;C-CM ký ngày 11/5/2026</t>
  </si>
  <si>
    <t>9.750.878.217</t>
  </si>
  <si>
    <t>PKHĐT</t>
  </si>
  <si>
    <t>Công ty TNHH Công nghệ Kỹ thuật điện An Nguyên</t>
  </si>
  <si>
    <t>Tạm ứng HĐ số...../026/HĐGK/TNE&amp;C-ANNGUYEN</t>
  </si>
  <si>
    <t>320.365.885</t>
  </si>
  <si>
    <t>BĐHLDTV</t>
  </si>
  <si>
    <t>Tạm ứng hợp đồng số: 2211/2025/HĐNT/TNTVSP-TNEC&amp;SMC 05/ 11/2025.</t>
  </si>
  <si>
    <t>4.710.249.058</t>
  </si>
  <si>
    <t>2.345.000.000</t>
  </si>
  <si>
    <t>22.566.280.540</t>
  </si>
  <si>
    <t>Thanh toán đợt 04 - 0711025/HĐGK/TNE&amp;C-TOANTHANG</t>
  </si>
  <si>
    <t>2.996.971.580</t>
  </si>
  <si>
    <t>Thanh toán đợt 04 - 0812/HĐTP/TNE&amp;C-DAINAM</t>
  </si>
  <si>
    <t>1.926.509.918</t>
  </si>
  <si>
    <t>Thanh toán vật tư đợt 2 - 1002/2026/HĐMB/TNE&amp;C-EVR</t>
  </si>
  <si>
    <t>30.409.421</t>
  </si>
  <si>
    <t>Thanh toán nhân công đợt 2 - 0603/2026/HĐGK/TNE&amp;C-ĐN</t>
  </si>
  <si>
    <t>170.918.679</t>
  </si>
  <si>
    <t>52.755.257</t>
  </si>
  <si>
    <t>Thanh toán vật tư đợt 1 - 3110/2025/HĐMB/TNE&amp;C-THANGLOI</t>
  </si>
  <si>
    <t>Công ty TNHH Hữu Biên</t>
  </si>
  <si>
    <t>Tạm ứng HĐ số 2804/2026/HĐGK/TNE&amp;C-HB ngày 24/04/2026</t>
  </si>
  <si>
    <t>Thanh toán đợt 3 Hợp đồng số: 1011/2025/HĐNT/TNE&amp;C-SHD ký ngày 10/11/2025</t>
  </si>
  <si>
    <t>Thanh toán đợt 3 Hợp đồng số: 1011/2025/HĐNT/TNE&amp;C-YP ký ngày 10/11/2025</t>
  </si>
  <si>
    <t>798.849.435</t>
  </si>
  <si>
    <t>Ban điều hành Tây Ninh</t>
  </si>
  <si>
    <t>Chi phí ban điều hành</t>
  </si>
  <si>
    <t>20.000.000</t>
  </si>
  <si>
    <t>Công ty TNHH Quảng cáo và Xây dựng Đại Cát</t>
  </si>
  <si>
    <t>Thanh toán thầu phụ Hợp đồng số: 01/2026/HĐGK/TNE&amp;C-DAICAT ngày 30/03/2026</t>
  </si>
  <si>
    <t>Công Ty TNHH DV An Ninh Bảo Vệ Long Thiên Bảo</t>
  </si>
  <si>
    <t>Thanh toán tiền dịch vụ thuê bảo vệ BĐH tháng 05/2026 của Hợp đồng số: 6915/2026/LTB/HDBV ký ngày 04/05/2026</t>
  </si>
  <si>
    <t>Tạm ứng đợt 1 hợp đồng thí nghiệm số: 24/2025/HĐTN/MD-TN ký ngày 24/12/2025</t>
  </si>
  <si>
    <t>Tạm ứng đợt 2 hợp đồng mua bán số 0901/2026/HĐMB/TNE&amp;C- SP ký ngày 09/01/2026</t>
  </si>
  <si>
    <t>Thanh toán đợt 05 - 0812/HĐTP/TNE&amp;C-DAINAM</t>
  </si>
  <si>
    <t>Lê Thiện Thanh</t>
  </si>
  <si>
    <t>Đặt cọc và thanh toán tiền thuê đất hợp đồng số 255/2026/HĐTD/TNEC-LE THIEN THANH ký ngày</t>
  </si>
  <si>
    <t>Công ty TNHH XD Minh Khang</t>
  </si>
  <si>
    <t>Thanh toán tạm đợt 2.1 HĐ số 0501/HĐMB/TNE&amp;C-MK ký ngày 05/01/2026</t>
  </si>
  <si>
    <t>Công ty TNHH XD PTHT Trung Quân</t>
  </si>
  <si>
    <t>Tạm ứng HĐ giao khoán số 2004/2026/HĐGK/TNE&amp;C-TQ ký ngày 20/4/2026</t>
  </si>
  <si>
    <t>Thanh toán tạm đợt 2.2 HĐ số 0501/HĐMB/TNE&amp;C-MK ký ngày 05/01/2026</t>
  </si>
  <si>
    <t>Ban Quản lý khu kinh tế tỉnh Đồng Tháp</t>
  </si>
  <si>
    <t>Thanh toánh KLHT Đợt 1 HĐ số HD2500228494_2512261519 ký ngày 27/12/2025</t>
  </si>
  <si>
    <t>Tạm ứng HĐ giao khoán số 2804/2026/HĐGK/TNE&amp;C-HB ký ngày 28/4/2026</t>
  </si>
  <si>
    <t>Thanh toán đợt 05 - 0711025/HĐGK/TNE&amp;C-TOANTHANG</t>
  </si>
  <si>
    <t>Thanh toán đợt 4 HĐ số 0501/HĐMB/TNE&amp;C-MK ký ngày 05/01/2026</t>
  </si>
  <si>
    <t>Thanh toán đợt 1 HĐ số 0505/HĐTCXD/TNE&amp;C-MK ký ngày 05/5/2026</t>
  </si>
  <si>
    <t>Thanh toán đợt 1 HĐ số 0701/HĐGK/TNE&amp;C-VGL ký ngày 07/01/2026</t>
  </si>
  <si>
    <t>Công ty Cổ phần Kỹ thuật &amp; Xây dựng Công Minh</t>
  </si>
  <si>
    <t>Thanh toán đợt 1 HĐ số 1105/2026/HĐTCXD/TNE&amp;C-CM ngày 11/05/2026</t>
  </si>
  <si>
    <t>Thanh toán đợt 1 HĐ số 2804/2026/HĐGK/TNE&amp;C-HB ngày 28/4/2026</t>
  </si>
  <si>
    <t>Công ty TNHH Xây dựng Phát triển Hạ tầng Trung Quân</t>
  </si>
  <si>
    <t>Thanh toán đợt 1 HĐ số 2004/2026/HĐGK/TNE&amp;C-TQ ngày 20/4/2026</t>
  </si>
  <si>
    <t>Công ty TNHH Minh Khang</t>
  </si>
  <si>
    <t>Thanh toán đợt 1 HĐ số 2304/2026/HĐTP/TNE&amp;C-GTT ngày 23/4/2026</t>
  </si>
  <si>
    <t>Thanh toán HSTT Đợt 5 - 0812/HĐTP/TNE&amp;C-DAINAM ngày 08/12/2025</t>
  </si>
  <si>
    <t>Thanh toán HSTT Đợt 2 - 1002/2026/HĐMB/TNE&amp;C-EVR ngày 10/02/2026</t>
  </si>
  <si>
    <t>Thanh toán HSTT Đợt 2 - 0603/2026/HĐGK/TNE&amp;C-ĐN ngày 06/03/2026</t>
  </si>
  <si>
    <t>Thanh toán HSTT Đợt 2 - HĐ 1505/2026/HĐGK/TNE&amp;C-ANNGUYEN ngày 15/05/2026</t>
  </si>
  <si>
    <t>CHI</t>
  </si>
  <si>
    <t>Công ty TNHH Dịch vụ An ninh bảo vệ Long Thiên Bảo</t>
  </si>
  <si>
    <t>Thanh toán phí dịch vụ tháng 06/2026 - HĐ 6915/2026/LTB/HDBV ngày 04/05/2026</t>
  </si>
  <si>
    <t>Rạch Xuyên Tâm</t>
  </si>
  <si>
    <t>Công ty  CP TVXD &amp; TM Phương Quân</t>
  </si>
  <si>
    <t>Thanh toán đợt 1 HĐ số 204/2026/HĐTN/TNE&amp;C-PQ ngày 20/04/2026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</si>
</sst>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yriad Pro"/>
      <family val="2"/>
    </font>
    <font>
      <sz val="11"/>
      <color rgb="FFFF0000"/>
      <name val="Myriad Pro"/>
      <family val="2"/>
    </font>
    <font>
      <sz val="11"/>
      <color rgb="FF333333"/>
      <name val="Roboto"/>
    </font>
    <font>
      <b/>
      <sz val="20"/>
      <color rgb="FFFF0000"/>
      <name val="Myriad Pro"/>
      <family val="2"/>
    </font>
    <font>
      <b/>
      <sz val="14"/>
      <color theme="1"/>
      <name val="Myriad Pro"/>
      <family val="2"/>
    </font>
    <font>
      <b/>
      <sz val="14"/>
      <color rgb="FFFF0000"/>
      <name val="Myriad Pro"/>
      <family val="2"/>
    </font>
    <font>
      <sz val="12"/>
      <color theme="1"/>
      <name val="Myriad Pro"/>
      <family val="2"/>
    </font>
    <font>
      <sz val="12"/>
      <color rgb="FFFF0000"/>
      <name val="Myriad Pro"/>
      <family val="2"/>
    </font>
    <font>
      <sz val="12"/>
      <name val="Myriad Pro"/>
      <family val="2"/>
    </font>
    <font>
      <b/>
      <sz val="14"/>
      <name val="Myriad Pro"/>
      <family val="2"/>
    </font>
    <font>
      <sz val="8"/>
      <name val="Calibri"/>
      <family val="2"/>
      <scheme val="minor"/>
    </font>
    <font>
      <b/>
      <sz val="12"/>
      <color rgb="FFFF0000"/>
      <name val="Myriad Pro"/>
      <family val="2"/>
    </font>
    <font>
      <sz val="11"/>
      <color rgb="FF000000"/>
      <name val="Helvetica"/>
    </font>
    <font>
      <sz val="14"/>
      <color theme="1"/>
      <name val="Myriad Pro"/>
      <family val="2"/>
    </font>
    <font>
      <sz val="14"/>
      <color rgb="FFFF0000"/>
      <name val="Myriad Pro"/>
      <family val="2"/>
    </font>
    <font>
      <sz val="14"/>
      <name val="Myriad Pro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165" fontId="9" fillId="0" borderId="1" xfId="1" applyNumberFormat="1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" fontId="3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3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5" fontId="9" fillId="0" borderId="0" xfId="1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8" fillId="0" borderId="4" xfId="0" applyFont="1" applyBorder="1" applyAlignment="1">
      <alignment vertical="center"/>
    </xf>
    <xf numFmtId="165" fontId="9" fillId="0" borderId="4" xfId="1" applyNumberFormat="1" applyFont="1" applyBorder="1" applyAlignment="1">
      <alignment vertical="center"/>
    </xf>
    <xf numFmtId="0" fontId="8" fillId="0" borderId="5" xfId="0" applyFont="1" applyBorder="1" applyAlignment="1">
      <alignment vertical="center"/>
    </xf>
    <xf numFmtId="165" fontId="9" fillId="0" borderId="5" xfId="1" applyNumberFormat="1" applyFont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165" fontId="9" fillId="0" borderId="6" xfId="1" applyNumberFormat="1" applyFont="1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6" fillId="3" borderId="7" xfId="0" applyFont="1" applyFill="1" applyBorder="1" applyAlignment="1">
      <alignment horizontal="center" vertical="center"/>
    </xf>
    <xf numFmtId="14" fontId="6" fillId="3" borderId="7" xfId="0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65" fontId="7" fillId="3" borderId="7" xfId="1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horizontal="right" vertical="center" wrapText="1"/>
    </xf>
    <xf numFmtId="165" fontId="13" fillId="0" borderId="1" xfId="1" applyNumberFormat="1" applyFont="1" applyBorder="1" applyAlignment="1">
      <alignment vertical="center"/>
    </xf>
    <xf numFmtId="3" fontId="14" fillId="0" borderId="0" xfId="0" applyNumberFormat="1" applyFont="1"/>
    <xf numFmtId="0" fontId="14" fillId="0" borderId="0" xfId="0" applyFont="1"/>
    <xf numFmtId="3" fontId="8" fillId="0" borderId="0" xfId="0" applyNumberFormat="1" applyFont="1" applyAlignment="1">
      <alignment horizontal="left" vertical="center"/>
    </xf>
    <xf numFmtId="14" fontId="8" fillId="0" borderId="3" xfId="0" applyNumberFormat="1" applyFont="1" applyBorder="1" applyAlignment="1">
      <alignment horizontal="left" vertical="center"/>
    </xf>
    <xf numFmtId="165" fontId="9" fillId="5" borderId="1" xfId="1" applyNumberFormat="1" applyFont="1" applyFill="1" applyBorder="1" applyAlignment="1">
      <alignment vertical="center"/>
    </xf>
    <xf numFmtId="165" fontId="9" fillId="6" borderId="1" xfId="1" applyNumberFormat="1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3" fontId="9" fillId="6" borderId="1" xfId="0" applyNumberFormat="1" applyFont="1" applyFill="1" applyBorder="1" applyAlignment="1">
      <alignment horizontal="righ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3" fontId="9" fillId="5" borderId="1" xfId="0" applyNumberFormat="1" applyFont="1" applyFill="1" applyBorder="1" applyAlignment="1">
      <alignment horizontal="right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3" fontId="16" fillId="0" borderId="1" xfId="0" applyNumberFormat="1" applyFont="1" applyBorder="1" applyAlignment="1">
      <alignment horizontal="righ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3" fontId="16" fillId="5" borderId="1" xfId="0" applyNumberFormat="1" applyFont="1" applyFill="1" applyBorder="1" applyAlignment="1">
      <alignment horizontal="right" vertical="center" wrapText="1"/>
    </xf>
    <xf numFmtId="14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165" fontId="16" fillId="5" borderId="1" xfId="1" applyNumberFormat="1" applyFont="1" applyFill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165" fontId="16" fillId="5" borderId="1" xfId="1" applyNumberFormat="1" applyFont="1" applyFill="1" applyBorder="1" applyAlignment="1">
      <alignment horizontal="right" vertical="center"/>
    </xf>
    <xf numFmtId="165" fontId="16" fillId="0" borderId="1" xfId="1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5" fontId="7" fillId="3" borderId="2" xfId="1" applyNumberFormat="1" applyFont="1" applyFill="1" applyBorder="1" applyAlignment="1">
      <alignment horizontal="center" vertical="center"/>
    </xf>
    <xf numFmtId="165" fontId="7" fillId="3" borderId="3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2A45-A60E-40EA-95DE-24BC5D05C3CD}">
  <sheetPr>
    <pageSetUpPr fitToPage="1"/>
  </sheetPr>
  <dimension ref="A1:M29"/>
  <sheetViews>
    <sheetView tabSelected="1" view="pageBreakPreview" topLeftCell="A15" zoomScale="85" zoomScaleNormal="60" zoomScaleSheetLayoutView="85" workbookViewId="0">
      <selection activeCell="E24" sqref="E24"/>
    </sheetView>
  </sheetViews>
  <sheetFormatPr defaultColWidth="4.140625" defaultRowHeight="15.75" outlineLevelRow="1"/>
  <cols>
    <col min="1" max="1" width="13.42578125" style="34" customWidth="1"/>
    <col min="2" max="2" width="32" style="34" customWidth="1"/>
    <col min="3" max="3" width="22" style="35" customWidth="1"/>
    <col min="4" max="4" width="65.5703125" style="36" bestFit="1" customWidth="1"/>
    <col min="5" max="5" width="99.7109375" style="54" bestFit="1" customWidth="1"/>
    <col min="6" max="6" width="32.28515625" style="37" customWidth="1"/>
    <col min="7" max="7" width="46.28515625" style="14" customWidth="1"/>
    <col min="8" max="8" width="21.85546875" style="14" bestFit="1" customWidth="1"/>
    <col min="9" max="9" width="14.85546875" style="14" bestFit="1" customWidth="1"/>
    <col min="10" max="10" width="16.28515625" style="14" bestFit="1" customWidth="1"/>
    <col min="11" max="11" width="29.140625" style="14" bestFit="1" customWidth="1"/>
    <col min="12" max="12" width="4.140625" style="13"/>
    <col min="13" max="16384" width="4.140625" style="14"/>
  </cols>
  <sheetData>
    <row r="1" spans="1:12" s="21" customFormat="1" ht="15" hidden="1" outlineLevel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2" s="21" customFormat="1" ht="15" hidden="1" outlineLevel="1">
      <c r="A2" s="22">
        <v>1</v>
      </c>
      <c r="B2" s="23" t="s">
        <v>2</v>
      </c>
      <c r="C2" s="23"/>
      <c r="D2" s="18"/>
      <c r="E2" s="47"/>
      <c r="F2" s="20"/>
      <c r="L2" s="19"/>
    </row>
    <row r="3" spans="1:12" s="21" customFormat="1" ht="15" hidden="1" outlineLevel="1">
      <c r="A3" s="22">
        <v>2</v>
      </c>
      <c r="B3" s="23" t="s">
        <v>3</v>
      </c>
      <c r="C3" s="23"/>
      <c r="D3" s="18"/>
      <c r="E3" s="47"/>
      <c r="F3" s="20"/>
      <c r="L3" s="19"/>
    </row>
    <row r="4" spans="1:12" s="21" customFormat="1" ht="15" hidden="1" outlineLevel="1">
      <c r="A4" s="22">
        <v>3</v>
      </c>
      <c r="B4" s="23" t="s">
        <v>4</v>
      </c>
      <c r="C4" s="23"/>
      <c r="D4" s="18"/>
      <c r="E4" s="48"/>
      <c r="F4" s="20"/>
      <c r="L4" s="19"/>
    </row>
    <row r="5" spans="1:12" s="21" customFormat="1" ht="15" hidden="1" outlineLevel="1">
      <c r="A5" s="22">
        <v>4</v>
      </c>
      <c r="B5" s="23" t="s">
        <v>5</v>
      </c>
      <c r="C5" s="23"/>
      <c r="D5" s="18"/>
      <c r="E5" s="47"/>
      <c r="F5" s="20"/>
      <c r="L5" s="19"/>
    </row>
    <row r="6" spans="1:12" s="21" customFormat="1" ht="15" hidden="1" outlineLevel="1">
      <c r="A6" s="22">
        <v>5</v>
      </c>
      <c r="B6" s="23" t="s">
        <v>6</v>
      </c>
      <c r="C6" s="23"/>
      <c r="D6" s="18"/>
      <c r="E6" s="47"/>
      <c r="F6" s="20"/>
      <c r="L6" s="19"/>
    </row>
    <row r="7" spans="1:12" s="21" customFormat="1" ht="15" hidden="1" outlineLevel="1">
      <c r="A7" s="22">
        <v>6</v>
      </c>
      <c r="B7" s="23" t="s">
        <v>7</v>
      </c>
      <c r="C7" s="23"/>
      <c r="D7" s="18"/>
      <c r="E7" s="47"/>
      <c r="F7" s="20"/>
      <c r="L7" s="19"/>
    </row>
    <row r="8" spans="1:12" s="21" customFormat="1" ht="15" hidden="1" outlineLevel="1">
      <c r="A8" s="22">
        <v>7</v>
      </c>
      <c r="B8" s="23" t="s">
        <v>8</v>
      </c>
      <c r="C8" s="23"/>
      <c r="D8" s="18"/>
      <c r="E8" s="47"/>
      <c r="F8" s="20"/>
      <c r="L8" s="19"/>
    </row>
    <row r="9" spans="1:12" s="21" customFormat="1" ht="15" hidden="1" outlineLevel="1">
      <c r="A9" s="22">
        <v>8</v>
      </c>
      <c r="B9" s="23" t="s">
        <v>9</v>
      </c>
      <c r="C9" s="23"/>
      <c r="D9" s="18"/>
      <c r="E9" s="47"/>
      <c r="F9" s="20"/>
      <c r="L9" s="19"/>
    </row>
    <row r="10" spans="1:12" s="21" customFormat="1" ht="15" hidden="1" outlineLevel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2" s="21" customFormat="1" ht="15" hidden="1" outlineLevel="1">
      <c r="A11" s="22"/>
      <c r="B11" s="25" t="s">
        <v>40</v>
      </c>
      <c r="C11" s="25"/>
      <c r="D11" s="18"/>
      <c r="E11" s="49"/>
      <c r="F11" s="20"/>
      <c r="L11" s="19"/>
    </row>
    <row r="12" spans="1:12" s="21" customFormat="1" ht="15" hidden="1" outlineLevel="1">
      <c r="A12" s="22"/>
      <c r="B12" s="25" t="s">
        <v>209</v>
      </c>
      <c r="C12" s="25"/>
      <c r="D12" s="18"/>
      <c r="E12" s="49"/>
      <c r="F12" s="20"/>
      <c r="L12" s="19"/>
    </row>
    <row r="13" spans="1:12" s="21" customFormat="1" ht="15" hidden="1" outlineLevel="1">
      <c r="A13" s="22">
        <v>10</v>
      </c>
      <c r="B13" s="25" t="s">
        <v>11</v>
      </c>
      <c r="C13" s="25"/>
      <c r="D13" s="18"/>
      <c r="E13" s="49"/>
      <c r="F13" s="20"/>
      <c r="L13" s="19"/>
    </row>
    <row r="14" spans="1:12" s="21" customFormat="1" ht="26.25" hidden="1" outlineLevel="1">
      <c r="A14" s="107" t="s">
        <v>22</v>
      </c>
      <c r="B14" s="107"/>
      <c r="C14" s="107"/>
      <c r="D14" s="107"/>
      <c r="E14" s="107"/>
      <c r="F14" s="20"/>
      <c r="L14" s="19"/>
    </row>
    <row r="15" spans="1:12" s="21" customFormat="1" ht="15" collapsed="1">
      <c r="A15" s="26"/>
      <c r="B15" s="26"/>
      <c r="C15" s="27"/>
      <c r="D15" s="28"/>
      <c r="E15" s="49"/>
      <c r="F15" s="20"/>
      <c r="L15" s="19"/>
    </row>
    <row r="16" spans="1:12" s="4" customFormat="1" ht="18.75">
      <c r="A16" s="1" t="s">
        <v>0</v>
      </c>
      <c r="B16" s="1" t="s">
        <v>12</v>
      </c>
      <c r="C16" s="6" t="s">
        <v>30</v>
      </c>
      <c r="D16" s="15" t="s">
        <v>13</v>
      </c>
      <c r="E16" s="50" t="s">
        <v>14</v>
      </c>
      <c r="F16" s="2" t="s">
        <v>15</v>
      </c>
      <c r="G16" s="5" t="s">
        <v>23</v>
      </c>
      <c r="H16" s="1" t="s">
        <v>16</v>
      </c>
      <c r="I16" s="1" t="s">
        <v>17</v>
      </c>
      <c r="J16" s="1" t="s">
        <v>18</v>
      </c>
      <c r="K16" s="3" t="s">
        <v>19</v>
      </c>
    </row>
    <row r="17" spans="1:13" s="100" customFormat="1" ht="39.950000000000003" customHeight="1">
      <c r="A17" s="106">
        <v>1</v>
      </c>
      <c r="B17" s="82" t="s">
        <v>107</v>
      </c>
      <c r="C17" s="82" t="s">
        <v>20</v>
      </c>
      <c r="D17" s="91" t="s">
        <v>58</v>
      </c>
      <c r="E17" s="84" t="s">
        <v>329</v>
      </c>
      <c r="F17" s="104">
        <v>2518793307</v>
      </c>
      <c r="G17" s="93" t="s">
        <v>8</v>
      </c>
      <c r="H17" s="93"/>
      <c r="I17" s="95"/>
      <c r="J17" s="95"/>
      <c r="K17" s="98"/>
      <c r="L17" s="99"/>
    </row>
    <row r="18" spans="1:13" s="100" customFormat="1" ht="39.950000000000003" customHeight="1">
      <c r="A18" s="106">
        <f t="shared" ref="A18:A29" si="0">+A17+1</f>
        <v>2</v>
      </c>
      <c r="B18" s="82" t="s">
        <v>107</v>
      </c>
      <c r="C18" s="82" t="s">
        <v>20</v>
      </c>
      <c r="D18" s="91" t="s">
        <v>180</v>
      </c>
      <c r="E18" s="84" t="s">
        <v>330</v>
      </c>
      <c r="F18" s="104">
        <v>298740554</v>
      </c>
      <c r="G18" s="93" t="s">
        <v>8</v>
      </c>
      <c r="H18" s="93"/>
      <c r="I18" s="95"/>
      <c r="J18" s="95"/>
      <c r="K18" s="98"/>
      <c r="L18" s="99"/>
    </row>
    <row r="19" spans="1:13" s="100" customFormat="1" ht="39.950000000000003" customHeight="1">
      <c r="A19" s="106">
        <f t="shared" si="0"/>
        <v>3</v>
      </c>
      <c r="B19" s="82" t="s">
        <v>107</v>
      </c>
      <c r="C19" s="82" t="s">
        <v>20</v>
      </c>
      <c r="D19" s="91" t="s">
        <v>58</v>
      </c>
      <c r="E19" s="84" t="s">
        <v>331</v>
      </c>
      <c r="F19" s="104">
        <v>773876228</v>
      </c>
      <c r="G19" s="93" t="s">
        <v>8</v>
      </c>
      <c r="H19" s="93"/>
      <c r="I19" s="95"/>
      <c r="J19" s="95"/>
      <c r="K19" s="98"/>
      <c r="L19" s="99"/>
    </row>
    <row r="20" spans="1:13" s="100" customFormat="1" ht="39.950000000000003" customHeight="1">
      <c r="A20" s="106">
        <f t="shared" si="0"/>
        <v>4</v>
      </c>
      <c r="B20" s="82" t="s">
        <v>107</v>
      </c>
      <c r="C20" s="82" t="s">
        <v>20</v>
      </c>
      <c r="D20" s="91" t="s">
        <v>275</v>
      </c>
      <c r="E20" s="84" t="s">
        <v>332</v>
      </c>
      <c r="F20" s="104">
        <v>427154514</v>
      </c>
      <c r="G20" s="93" t="s">
        <v>8</v>
      </c>
      <c r="H20" s="93"/>
      <c r="I20" s="95"/>
      <c r="J20" s="95"/>
      <c r="K20" s="98"/>
      <c r="L20" s="99"/>
    </row>
    <row r="21" spans="1:13" s="100" customFormat="1" ht="39.950000000000003" customHeight="1">
      <c r="A21" s="106">
        <f t="shared" si="0"/>
        <v>5</v>
      </c>
      <c r="B21" s="82" t="s">
        <v>228</v>
      </c>
      <c r="C21" s="82" t="s">
        <v>333</v>
      </c>
      <c r="D21" s="91" t="s">
        <v>334</v>
      </c>
      <c r="E21" s="84" t="s">
        <v>335</v>
      </c>
      <c r="F21" s="104">
        <v>23760000</v>
      </c>
      <c r="G21" s="93" t="s">
        <v>336</v>
      </c>
      <c r="H21" s="93"/>
      <c r="I21" s="95"/>
      <c r="J21" s="95"/>
      <c r="K21" s="98"/>
      <c r="L21" s="99"/>
    </row>
    <row r="22" spans="1:13" s="97" customFormat="1" ht="39.950000000000003" customHeight="1">
      <c r="A22" s="106">
        <f t="shared" si="0"/>
        <v>6</v>
      </c>
      <c r="B22" s="82" t="s">
        <v>274</v>
      </c>
      <c r="C22" s="86" t="s">
        <v>20</v>
      </c>
      <c r="D22" s="87" t="s">
        <v>310</v>
      </c>
      <c r="E22" s="88" t="s">
        <v>319</v>
      </c>
      <c r="F22" s="89">
        <v>2111166418</v>
      </c>
      <c r="G22" s="84" t="s">
        <v>209</v>
      </c>
      <c r="H22" s="94"/>
      <c r="I22" s="95"/>
      <c r="J22" s="95"/>
      <c r="K22" s="95"/>
      <c r="L22" s="96"/>
    </row>
    <row r="23" spans="1:13" s="97" customFormat="1" ht="39.950000000000003" customHeight="1">
      <c r="A23" s="106">
        <f t="shared" si="0"/>
        <v>7</v>
      </c>
      <c r="B23" s="82" t="s">
        <v>274</v>
      </c>
      <c r="C23" s="86" t="s">
        <v>20</v>
      </c>
      <c r="D23" s="87" t="s">
        <v>310</v>
      </c>
      <c r="E23" s="88" t="s">
        <v>320</v>
      </c>
      <c r="F23" s="89">
        <v>2181457447</v>
      </c>
      <c r="G23" s="84" t="s">
        <v>209</v>
      </c>
      <c r="H23" s="94"/>
      <c r="I23" s="95"/>
      <c r="J23" s="95"/>
      <c r="K23" s="95"/>
      <c r="L23" s="96"/>
    </row>
    <row r="24" spans="1:13" s="96" customFormat="1" ht="39.950000000000003" customHeight="1">
      <c r="A24" s="106">
        <f t="shared" si="0"/>
        <v>8</v>
      </c>
      <c r="B24" s="82" t="s">
        <v>274</v>
      </c>
      <c r="C24" s="90" t="s">
        <v>20</v>
      </c>
      <c r="D24" s="83" t="s">
        <v>310</v>
      </c>
      <c r="E24" s="84" t="s">
        <v>321</v>
      </c>
      <c r="F24" s="104">
        <v>292915011</v>
      </c>
      <c r="G24" s="93" t="s">
        <v>209</v>
      </c>
      <c r="H24" s="93"/>
      <c r="I24" s="95"/>
      <c r="J24" s="95"/>
      <c r="K24" s="98"/>
      <c r="L24" s="99"/>
      <c r="M24" s="100"/>
    </row>
    <row r="25" spans="1:13" s="97" customFormat="1" ht="39.950000000000003" customHeight="1">
      <c r="A25" s="106">
        <f t="shared" si="0"/>
        <v>9</v>
      </c>
      <c r="B25" s="82" t="s">
        <v>274</v>
      </c>
      <c r="C25" s="90" t="s">
        <v>20</v>
      </c>
      <c r="D25" s="83" t="s">
        <v>322</v>
      </c>
      <c r="E25" s="84" t="s">
        <v>323</v>
      </c>
      <c r="F25" s="104">
        <v>662627807</v>
      </c>
      <c r="G25" s="93" t="s">
        <v>179</v>
      </c>
      <c r="H25" s="94"/>
      <c r="I25" s="95"/>
      <c r="J25" s="95"/>
      <c r="K25" s="95"/>
      <c r="L25" s="96"/>
      <c r="M25" s="96"/>
    </row>
    <row r="26" spans="1:13" s="100" customFormat="1" ht="39.950000000000003" customHeight="1">
      <c r="A26" s="106">
        <f t="shared" si="0"/>
        <v>10</v>
      </c>
      <c r="B26" s="82" t="s">
        <v>274</v>
      </c>
      <c r="C26" s="82" t="s">
        <v>20</v>
      </c>
      <c r="D26" s="91" t="s">
        <v>293</v>
      </c>
      <c r="E26" s="84" t="s">
        <v>324</v>
      </c>
      <c r="F26" s="104">
        <v>705232380</v>
      </c>
      <c r="G26" s="93" t="s">
        <v>179</v>
      </c>
      <c r="H26" s="93"/>
      <c r="I26" s="95"/>
      <c r="J26" s="95"/>
      <c r="K26" s="98"/>
      <c r="L26" s="99"/>
    </row>
    <row r="27" spans="1:13" s="100" customFormat="1" ht="39.950000000000003" customHeight="1">
      <c r="A27" s="106">
        <f t="shared" si="0"/>
        <v>11</v>
      </c>
      <c r="B27" s="82" t="s">
        <v>274</v>
      </c>
      <c r="C27" s="82" t="s">
        <v>20</v>
      </c>
      <c r="D27" s="91" t="s">
        <v>325</v>
      </c>
      <c r="E27" s="84" t="s">
        <v>326</v>
      </c>
      <c r="F27" s="104">
        <v>383141693</v>
      </c>
      <c r="G27" s="93" t="s">
        <v>179</v>
      </c>
      <c r="H27" s="93"/>
      <c r="I27" s="95"/>
      <c r="J27" s="95"/>
      <c r="K27" s="98"/>
      <c r="L27" s="99"/>
    </row>
    <row r="28" spans="1:13" s="100" customFormat="1" ht="39.950000000000003" customHeight="1">
      <c r="A28" s="106">
        <f t="shared" si="0"/>
        <v>12</v>
      </c>
      <c r="B28" s="82" t="s">
        <v>274</v>
      </c>
      <c r="C28" s="82" t="s">
        <v>20</v>
      </c>
      <c r="D28" s="91" t="s">
        <v>327</v>
      </c>
      <c r="E28" s="84" t="s">
        <v>328</v>
      </c>
      <c r="F28" s="104">
        <v>443395410</v>
      </c>
      <c r="G28" s="93" t="s">
        <v>179</v>
      </c>
      <c r="H28" s="93"/>
      <c r="I28" s="95"/>
      <c r="J28" s="95"/>
      <c r="K28" s="98"/>
      <c r="L28" s="99"/>
    </row>
    <row r="29" spans="1:13" s="100" customFormat="1" ht="39.950000000000003" customHeight="1">
      <c r="A29" s="106">
        <f t="shared" si="0"/>
        <v>13</v>
      </c>
      <c r="B29" s="82" t="s">
        <v>274</v>
      </c>
      <c r="C29" s="82" t="s">
        <v>20</v>
      </c>
      <c r="D29" s="91" t="s">
        <v>337</v>
      </c>
      <c r="E29" s="84" t="s">
        <v>338</v>
      </c>
      <c r="F29" s="104">
        <v>200000000</v>
      </c>
      <c r="G29" s="93" t="s">
        <v>40</v>
      </c>
      <c r="H29" s="93"/>
      <c r="I29" s="95"/>
      <c r="J29" s="95"/>
      <c r="K29" s="98"/>
      <c r="L29" s="99"/>
    </row>
  </sheetData>
  <autoFilter ref="A16:M16" xr:uid="{C155F3F1-DB5D-4AC8-BEB0-4347C3A784A1}">
    <sortState ref="A17:M22">
      <sortCondition ref="G16"/>
    </sortState>
  </autoFilter>
  <mergeCells count="1">
    <mergeCell ref="A14:E14"/>
  </mergeCells>
  <dataValidations count="2">
    <dataValidation type="list" allowBlank="1" showInputMessage="1" showErrorMessage="1" sqref="C24" xr:uid="{BC55CE76-EF40-400F-BAC7-3AD3B8540ABF}">
      <formula1>#REF!</formula1>
    </dataValidation>
    <dataValidation type="list" allowBlank="1" showInputMessage="1" showErrorMessage="1" sqref="G26:G29 G17:G21" xr:uid="{E44FCAE3-801A-4EA4-ABC1-FBD6340035F6}">
      <formula1>$B$2:$B$13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7E76-DE6D-4A18-A605-D90C16CF760A}">
  <sheetPr>
    <pageSetUpPr fitToPage="1"/>
  </sheetPr>
  <dimension ref="A1:M21"/>
  <sheetViews>
    <sheetView topLeftCell="A13" zoomScale="60" zoomScaleNormal="60" workbookViewId="0">
      <selection activeCell="D37" sqref="D37"/>
    </sheetView>
  </sheetViews>
  <sheetFormatPr defaultColWidth="9.140625" defaultRowHeight="15.75"/>
  <cols>
    <col min="1" max="1" width="4.42578125" style="34" bestFit="1" customWidth="1"/>
    <col min="2" max="2" width="28.7109375" style="34" customWidth="1"/>
    <col min="3" max="3" width="11.85546875" style="35" customWidth="1"/>
    <col min="4" max="4" width="68.140625" style="36" customWidth="1"/>
    <col min="5" max="5" width="60.42578125" style="54" customWidth="1"/>
    <col min="6" max="6" width="23.42578125" style="37" customWidth="1"/>
    <col min="7" max="7" width="32.57031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2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2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2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2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2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2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2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2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2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2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2" s="21" customFormat="1" ht="15" hidden="1">
      <c r="A11" s="22"/>
      <c r="B11" s="25" t="s">
        <v>209</v>
      </c>
      <c r="C11" s="25"/>
      <c r="D11" s="18"/>
      <c r="E11" s="49"/>
      <c r="F11" s="20"/>
      <c r="L11" s="19"/>
    </row>
    <row r="12" spans="1:12" s="21" customFormat="1" ht="57.75" hidden="1" customHeight="1">
      <c r="A12" s="22">
        <v>10</v>
      </c>
      <c r="B12" s="25" t="s">
        <v>11</v>
      </c>
      <c r="C12" s="25"/>
      <c r="D12" s="18"/>
      <c r="E12" s="49"/>
      <c r="F12" s="20"/>
      <c r="L12" s="19"/>
    </row>
    <row r="13" spans="1:12" s="21" customFormat="1" ht="49.5" customHeight="1">
      <c r="A13" s="107" t="s">
        <v>22</v>
      </c>
      <c r="B13" s="107"/>
      <c r="C13" s="107"/>
      <c r="D13" s="107"/>
      <c r="E13" s="107"/>
      <c r="F13" s="20"/>
      <c r="L13" s="19"/>
    </row>
    <row r="14" spans="1:12" s="21" customFormat="1" ht="15">
      <c r="A14" s="26"/>
      <c r="B14" s="26"/>
      <c r="C14" s="27"/>
      <c r="D14" s="28"/>
      <c r="E14" s="49"/>
      <c r="F14" s="20"/>
      <c r="L14" s="19"/>
    </row>
    <row r="15" spans="1:12" s="4" customFormat="1" ht="42" customHeight="1">
      <c r="A15" s="1" t="s">
        <v>0</v>
      </c>
      <c r="B15" s="57" t="s">
        <v>12</v>
      </c>
      <c r="C15" s="58" t="s">
        <v>30</v>
      </c>
      <c r="D15" s="59" t="s">
        <v>13</v>
      </c>
      <c r="E15" s="60" t="s">
        <v>14</v>
      </c>
      <c r="F15" s="61" t="s">
        <v>15</v>
      </c>
      <c r="G15" s="62" t="s">
        <v>23</v>
      </c>
      <c r="H15" s="1" t="s">
        <v>16</v>
      </c>
      <c r="I15" s="1" t="s">
        <v>17</v>
      </c>
      <c r="J15" s="1" t="s">
        <v>18</v>
      </c>
      <c r="K15" s="3" t="s">
        <v>19</v>
      </c>
    </row>
    <row r="16" spans="1:12" s="97" customFormat="1" ht="81.75" customHeight="1">
      <c r="A16" s="81">
        <v>1</v>
      </c>
      <c r="B16" s="82" t="s">
        <v>274</v>
      </c>
      <c r="C16" s="86" t="s">
        <v>92</v>
      </c>
      <c r="D16" s="87" t="s">
        <v>315</v>
      </c>
      <c r="E16" s="88" t="s">
        <v>316</v>
      </c>
      <c r="F16" s="89">
        <v>2634602295</v>
      </c>
      <c r="G16" s="84" t="s">
        <v>209</v>
      </c>
      <c r="H16" s="94"/>
      <c r="I16" s="95"/>
      <c r="J16" s="95"/>
      <c r="K16" s="95"/>
      <c r="L16" s="96"/>
    </row>
    <row r="17" spans="1:13" s="97" customFormat="1" ht="81.75" customHeight="1">
      <c r="A17" s="81">
        <v>2</v>
      </c>
      <c r="B17" s="82" t="s">
        <v>274</v>
      </c>
      <c r="C17" s="86" t="s">
        <v>20</v>
      </c>
      <c r="D17" s="87" t="s">
        <v>312</v>
      </c>
      <c r="E17" s="88" t="s">
        <v>313</v>
      </c>
      <c r="F17" s="89">
        <v>100000000</v>
      </c>
      <c r="G17" s="84" t="s">
        <v>179</v>
      </c>
      <c r="H17" s="94"/>
      <c r="I17" s="95"/>
      <c r="J17" s="95"/>
      <c r="K17" s="95"/>
      <c r="L17" s="96"/>
    </row>
    <row r="18" spans="1:13" s="96" customFormat="1" ht="81.75" customHeight="1">
      <c r="A18" s="81">
        <v>3</v>
      </c>
      <c r="B18" s="82" t="s">
        <v>274</v>
      </c>
      <c r="C18" s="90" t="s">
        <v>20</v>
      </c>
      <c r="D18" s="83" t="s">
        <v>293</v>
      </c>
      <c r="E18" s="84" t="s">
        <v>317</v>
      </c>
      <c r="F18" s="104">
        <v>100000000</v>
      </c>
      <c r="G18" s="93" t="s">
        <v>179</v>
      </c>
      <c r="H18" s="93"/>
      <c r="I18" s="95"/>
      <c r="J18" s="95"/>
      <c r="K18" s="98"/>
      <c r="L18" s="99"/>
      <c r="M18" s="100"/>
    </row>
    <row r="19" spans="1:13" s="97" customFormat="1" ht="81.75" customHeight="1">
      <c r="A19" s="81">
        <v>4</v>
      </c>
      <c r="B19" s="82" t="s">
        <v>107</v>
      </c>
      <c r="C19" s="90" t="s">
        <v>20</v>
      </c>
      <c r="D19" s="83" t="s">
        <v>57</v>
      </c>
      <c r="E19" s="84" t="s">
        <v>318</v>
      </c>
      <c r="F19" s="104">
        <v>1716205510</v>
      </c>
      <c r="G19" s="93" t="s">
        <v>8</v>
      </c>
      <c r="H19" s="94"/>
      <c r="I19" s="95"/>
      <c r="J19" s="95"/>
      <c r="K19" s="95"/>
      <c r="L19" s="96"/>
      <c r="M19" s="96"/>
    </row>
    <row r="20" spans="1:13" s="100" customFormat="1" ht="81.75" customHeight="1">
      <c r="A20" s="81">
        <v>5</v>
      </c>
      <c r="B20" s="82" t="s">
        <v>274</v>
      </c>
      <c r="C20" s="82" t="s">
        <v>20</v>
      </c>
      <c r="D20" s="91" t="s">
        <v>101</v>
      </c>
      <c r="E20" s="84" t="s">
        <v>305</v>
      </c>
      <c r="F20" s="104">
        <v>137000000</v>
      </c>
      <c r="G20" s="93" t="s">
        <v>47</v>
      </c>
      <c r="H20" s="93"/>
      <c r="I20" s="95"/>
      <c r="J20" s="95"/>
      <c r="K20" s="98"/>
      <c r="L20" s="99"/>
    </row>
    <row r="21" spans="1:13" s="100" customFormat="1" ht="81.75" customHeight="1">
      <c r="A21" s="81">
        <v>6</v>
      </c>
      <c r="B21" s="82" t="s">
        <v>274</v>
      </c>
      <c r="C21" s="82" t="s">
        <v>20</v>
      </c>
      <c r="D21" s="91" t="s">
        <v>262</v>
      </c>
      <c r="E21" s="84" t="s">
        <v>306</v>
      </c>
      <c r="F21" s="104">
        <v>3620172000</v>
      </c>
      <c r="G21" s="93" t="s">
        <v>47</v>
      </c>
      <c r="H21" s="93"/>
      <c r="I21" s="95"/>
      <c r="J21" s="95"/>
      <c r="K21" s="98"/>
      <c r="L21" s="99"/>
    </row>
  </sheetData>
  <autoFilter ref="A15:M19" xr:uid="{C155F3F1-DB5D-4AC8-BEB0-4347C3A784A1}">
    <sortState ref="A16:M30">
      <sortCondition ref="G15:G19"/>
    </sortState>
  </autoFilter>
  <mergeCells count="1">
    <mergeCell ref="A13:E13"/>
  </mergeCells>
  <dataValidations count="2">
    <dataValidation type="list" allowBlank="1" showInputMessage="1" showErrorMessage="1" sqref="C18" xr:uid="{225004BD-E267-4C64-8CF9-8641662F6936}">
      <formula1>#REF!</formula1>
    </dataValidation>
    <dataValidation type="list" allowBlank="1" showInputMessage="1" showErrorMessage="1" sqref="G20:G36" xr:uid="{059C6CE8-F8C5-4CA1-9905-9CD2FD0DEBA1}">
      <formula1>$B$2:$B$12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EDBF-FC47-4B7F-A8CC-C69B4EA51D49}">
  <sheetPr>
    <pageSetUpPr fitToPage="1"/>
  </sheetPr>
  <dimension ref="A1:M24"/>
  <sheetViews>
    <sheetView topLeftCell="A13" zoomScale="60" zoomScaleNormal="60" workbookViewId="0">
      <selection activeCell="F19" sqref="F19"/>
    </sheetView>
  </sheetViews>
  <sheetFormatPr defaultColWidth="9.140625" defaultRowHeight="15.75"/>
  <cols>
    <col min="1" max="1" width="4.42578125" style="34" bestFit="1" customWidth="1"/>
    <col min="2" max="2" width="28.7109375" style="34" customWidth="1"/>
    <col min="3" max="3" width="11.85546875" style="35" customWidth="1"/>
    <col min="4" max="4" width="68.140625" style="36" customWidth="1"/>
    <col min="5" max="5" width="60.42578125" style="54" customWidth="1"/>
    <col min="6" max="6" width="23.42578125" style="37" customWidth="1"/>
    <col min="7" max="7" width="32.57031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2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2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2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2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2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2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2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2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2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2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2" s="21" customFormat="1" ht="15" hidden="1">
      <c r="A11" s="22"/>
      <c r="B11" s="25" t="s">
        <v>209</v>
      </c>
      <c r="C11" s="25"/>
      <c r="D11" s="18"/>
      <c r="E11" s="49"/>
      <c r="F11" s="20"/>
      <c r="L11" s="19"/>
    </row>
    <row r="12" spans="1:12" s="21" customFormat="1" ht="57.75" hidden="1" customHeight="1">
      <c r="A12" s="22">
        <v>10</v>
      </c>
      <c r="B12" s="25" t="s">
        <v>11</v>
      </c>
      <c r="C12" s="25"/>
      <c r="D12" s="18"/>
      <c r="E12" s="49"/>
      <c r="F12" s="20"/>
      <c r="L12" s="19"/>
    </row>
    <row r="13" spans="1:12" s="21" customFormat="1" ht="49.5" customHeight="1">
      <c r="A13" s="107" t="s">
        <v>22</v>
      </c>
      <c r="B13" s="107"/>
      <c r="C13" s="107"/>
      <c r="D13" s="107"/>
      <c r="E13" s="107"/>
      <c r="F13" s="20"/>
      <c r="L13" s="19"/>
    </row>
    <row r="14" spans="1:12" s="21" customFormat="1" ht="15">
      <c r="A14" s="26"/>
      <c r="B14" s="26"/>
      <c r="C14" s="27"/>
      <c r="D14" s="28"/>
      <c r="E14" s="49"/>
      <c r="F14" s="20"/>
      <c r="L14" s="19"/>
    </row>
    <row r="15" spans="1:12" s="4" customFormat="1" ht="42" customHeight="1">
      <c r="A15" s="1" t="s">
        <v>0</v>
      </c>
      <c r="B15" s="57" t="s">
        <v>12</v>
      </c>
      <c r="C15" s="58" t="s">
        <v>30</v>
      </c>
      <c r="D15" s="59" t="s">
        <v>13</v>
      </c>
      <c r="E15" s="60" t="s">
        <v>14</v>
      </c>
      <c r="F15" s="61" t="s">
        <v>15</v>
      </c>
      <c r="G15" s="62" t="s">
        <v>23</v>
      </c>
      <c r="H15" s="1" t="s">
        <v>16</v>
      </c>
      <c r="I15" s="1" t="s">
        <v>17</v>
      </c>
      <c r="J15" s="1" t="s">
        <v>18</v>
      </c>
      <c r="K15" s="3" t="s">
        <v>19</v>
      </c>
    </row>
    <row r="16" spans="1:12" s="97" customFormat="1" ht="81.75" customHeight="1">
      <c r="A16" s="81">
        <v>1</v>
      </c>
      <c r="B16" s="82" t="s">
        <v>278</v>
      </c>
      <c r="C16" s="86" t="s">
        <v>20</v>
      </c>
      <c r="D16" s="87" t="s">
        <v>61</v>
      </c>
      <c r="E16" s="88" t="s">
        <v>295</v>
      </c>
      <c r="F16" s="89">
        <v>799314562</v>
      </c>
      <c r="G16" s="84" t="s">
        <v>3</v>
      </c>
      <c r="H16" s="94"/>
      <c r="I16" s="95"/>
      <c r="J16" s="95"/>
      <c r="K16" s="95"/>
      <c r="L16" s="96"/>
    </row>
    <row r="17" spans="1:13" s="97" customFormat="1" ht="81.75" customHeight="1">
      <c r="A17" s="81">
        <v>2</v>
      </c>
      <c r="B17" s="82" t="s">
        <v>278</v>
      </c>
      <c r="C17" s="86" t="s">
        <v>20</v>
      </c>
      <c r="D17" s="87" t="s">
        <v>178</v>
      </c>
      <c r="E17" s="88" t="s">
        <v>296</v>
      </c>
      <c r="F17" s="89">
        <v>1599314562</v>
      </c>
      <c r="G17" s="84" t="s">
        <v>3</v>
      </c>
      <c r="H17" s="94"/>
      <c r="I17" s="95"/>
      <c r="J17" s="95"/>
      <c r="K17" s="95"/>
      <c r="L17" s="96"/>
    </row>
    <row r="18" spans="1:13" s="96" customFormat="1" ht="81.75" customHeight="1">
      <c r="A18" s="81">
        <v>3</v>
      </c>
      <c r="B18" s="82" t="s">
        <v>274</v>
      </c>
      <c r="C18" s="90" t="s">
        <v>20</v>
      </c>
      <c r="D18" s="83" t="s">
        <v>310</v>
      </c>
      <c r="E18" s="84" t="s">
        <v>314</v>
      </c>
      <c r="F18" s="104">
        <v>953140780</v>
      </c>
      <c r="G18" s="93" t="s">
        <v>209</v>
      </c>
      <c r="H18" s="93"/>
      <c r="I18" s="95"/>
      <c r="J18" s="95"/>
      <c r="K18" s="98"/>
      <c r="L18" s="99"/>
      <c r="M18" s="100"/>
    </row>
    <row r="19" spans="1:13" s="97" customFormat="1" ht="81.75" customHeight="1">
      <c r="A19" s="81">
        <v>4</v>
      </c>
      <c r="B19" s="82" t="s">
        <v>107</v>
      </c>
      <c r="C19" s="90" t="s">
        <v>20</v>
      </c>
      <c r="D19" s="83" t="s">
        <v>58</v>
      </c>
      <c r="E19" s="84" t="s">
        <v>307</v>
      </c>
      <c r="F19" s="104">
        <v>986552096</v>
      </c>
      <c r="G19" s="93" t="s">
        <v>8</v>
      </c>
      <c r="H19" s="94"/>
      <c r="I19" s="95"/>
      <c r="J19" s="95"/>
      <c r="K19" s="95"/>
      <c r="L19" s="96"/>
      <c r="M19" s="96"/>
    </row>
    <row r="20" spans="1:13" s="100" customFormat="1" ht="81.75" customHeight="1">
      <c r="A20" s="81">
        <v>5</v>
      </c>
      <c r="B20" s="82" t="s">
        <v>274</v>
      </c>
      <c r="C20" s="82" t="s">
        <v>20</v>
      </c>
      <c r="D20" s="91" t="s">
        <v>267</v>
      </c>
      <c r="E20" s="84" t="s">
        <v>268</v>
      </c>
      <c r="F20" s="104">
        <v>178809068</v>
      </c>
      <c r="G20" s="93" t="s">
        <v>5</v>
      </c>
      <c r="H20" s="93"/>
      <c r="I20" s="95"/>
      <c r="J20" s="95"/>
      <c r="K20" s="98"/>
      <c r="L20" s="99"/>
    </row>
    <row r="21" spans="1:13" s="100" customFormat="1" ht="81.75" customHeight="1">
      <c r="A21" s="81">
        <v>6</v>
      </c>
      <c r="B21" s="82" t="s">
        <v>274</v>
      </c>
      <c r="C21" s="82" t="s">
        <v>20</v>
      </c>
      <c r="D21" s="91" t="s">
        <v>303</v>
      </c>
      <c r="E21" s="84" t="s">
        <v>304</v>
      </c>
      <c r="F21" s="104">
        <v>17070968</v>
      </c>
      <c r="G21" s="93" t="s">
        <v>5</v>
      </c>
      <c r="H21" s="93"/>
      <c r="I21" s="95"/>
      <c r="J21" s="95"/>
      <c r="K21" s="98"/>
      <c r="L21" s="99"/>
    </row>
    <row r="22" spans="1:13" s="100" customFormat="1" ht="81.75" customHeight="1">
      <c r="A22" s="81">
        <v>7</v>
      </c>
      <c r="B22" s="82" t="s">
        <v>274</v>
      </c>
      <c r="C22" s="82" t="s">
        <v>20</v>
      </c>
      <c r="D22" s="91" t="s">
        <v>101</v>
      </c>
      <c r="E22" s="84" t="s">
        <v>305</v>
      </c>
      <c r="F22" s="104">
        <v>137000000</v>
      </c>
      <c r="G22" s="93" t="s">
        <v>47</v>
      </c>
      <c r="H22" s="93"/>
      <c r="I22" s="95"/>
      <c r="J22" s="95"/>
      <c r="K22" s="98"/>
      <c r="L22" s="99"/>
    </row>
    <row r="23" spans="1:13" s="100" customFormat="1" ht="81.75" customHeight="1">
      <c r="A23" s="81">
        <v>8</v>
      </c>
      <c r="B23" s="82" t="s">
        <v>274</v>
      </c>
      <c r="C23" s="82" t="s">
        <v>20</v>
      </c>
      <c r="D23" s="91" t="s">
        <v>262</v>
      </c>
      <c r="E23" s="84" t="s">
        <v>306</v>
      </c>
      <c r="F23" s="104">
        <v>3620172000</v>
      </c>
      <c r="G23" s="93" t="s">
        <v>47</v>
      </c>
      <c r="H23" s="93"/>
      <c r="I23" s="95"/>
      <c r="J23" s="95"/>
      <c r="K23" s="98"/>
      <c r="L23" s="99"/>
    </row>
    <row r="24" spans="1:13" s="100" customFormat="1" ht="81.75" customHeight="1">
      <c r="A24" s="81">
        <v>9</v>
      </c>
      <c r="B24" s="82" t="s">
        <v>274</v>
      </c>
      <c r="C24" s="82" t="s">
        <v>20</v>
      </c>
      <c r="D24" s="91" t="s">
        <v>312</v>
      </c>
      <c r="E24" s="84" t="s">
        <v>313</v>
      </c>
      <c r="F24" s="104">
        <v>100000000</v>
      </c>
      <c r="G24" s="93" t="s">
        <v>179</v>
      </c>
      <c r="H24" s="93"/>
      <c r="I24" s="95"/>
      <c r="J24" s="95"/>
      <c r="K24" s="98"/>
      <c r="L24" s="99"/>
    </row>
  </sheetData>
  <autoFilter ref="A15:M19" xr:uid="{C155F3F1-DB5D-4AC8-BEB0-4347C3A784A1}">
    <sortState ref="A16:M30">
      <sortCondition ref="G15:G19"/>
    </sortState>
  </autoFilter>
  <mergeCells count="1">
    <mergeCell ref="A13:E13"/>
  </mergeCells>
  <dataValidations count="2">
    <dataValidation type="list" allowBlank="1" showInputMessage="1" showErrorMessage="1" sqref="G20:G39" xr:uid="{28A49A77-C153-4079-AB24-FB33742BBD2B}">
      <formula1>$B$2:$B$12</formula1>
    </dataValidation>
    <dataValidation type="list" allowBlank="1" showInputMessage="1" showErrorMessage="1" sqref="C18" xr:uid="{F8E7FD40-C414-4EDF-A23D-B967322F2925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1D81-C529-44AA-944B-58F8E75C71A7}">
  <sheetPr>
    <pageSetUpPr fitToPage="1"/>
  </sheetPr>
  <dimension ref="A1:M27"/>
  <sheetViews>
    <sheetView topLeftCell="A13" zoomScale="60" zoomScaleNormal="60" workbookViewId="0">
      <selection activeCell="E19" sqref="E19"/>
    </sheetView>
  </sheetViews>
  <sheetFormatPr defaultColWidth="9.140625" defaultRowHeight="15.75"/>
  <cols>
    <col min="1" max="1" width="4.42578125" style="34" bestFit="1" customWidth="1"/>
    <col min="2" max="2" width="28.7109375" style="34" customWidth="1"/>
    <col min="3" max="3" width="11.85546875" style="35" customWidth="1"/>
    <col min="4" max="4" width="68.140625" style="36" customWidth="1"/>
    <col min="5" max="5" width="60.42578125" style="54" customWidth="1"/>
    <col min="6" max="6" width="23.42578125" style="37" customWidth="1"/>
    <col min="7" max="7" width="32.57031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2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2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2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2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2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2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2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2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2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2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2" s="21" customFormat="1" ht="15" hidden="1">
      <c r="A11" s="22"/>
      <c r="B11" s="25" t="s">
        <v>209</v>
      </c>
      <c r="C11" s="25"/>
      <c r="D11" s="18"/>
      <c r="E11" s="49"/>
      <c r="F11" s="20"/>
      <c r="L11" s="19"/>
    </row>
    <row r="12" spans="1:12" s="21" customFormat="1" ht="57.75" hidden="1" customHeight="1">
      <c r="A12" s="22">
        <v>10</v>
      </c>
      <c r="B12" s="25" t="s">
        <v>11</v>
      </c>
      <c r="C12" s="25"/>
      <c r="D12" s="18"/>
      <c r="E12" s="49"/>
      <c r="F12" s="20"/>
      <c r="L12" s="19"/>
    </row>
    <row r="13" spans="1:12" s="21" customFormat="1" ht="49.5" customHeight="1">
      <c r="A13" s="107" t="s">
        <v>22</v>
      </c>
      <c r="B13" s="107"/>
      <c r="C13" s="107"/>
      <c r="D13" s="107"/>
      <c r="E13" s="107"/>
      <c r="F13" s="20"/>
      <c r="L13" s="19"/>
    </row>
    <row r="14" spans="1:12" s="21" customFormat="1" ht="15">
      <c r="A14" s="26"/>
      <c r="B14" s="26"/>
      <c r="C14" s="27"/>
      <c r="D14" s="28"/>
      <c r="E14" s="49"/>
      <c r="F14" s="20"/>
      <c r="L14" s="19"/>
    </row>
    <row r="15" spans="1:12" s="4" customFormat="1" ht="42" customHeight="1">
      <c r="A15" s="1" t="s">
        <v>0</v>
      </c>
      <c r="B15" s="57" t="s">
        <v>12</v>
      </c>
      <c r="C15" s="58" t="s">
        <v>30</v>
      </c>
      <c r="D15" s="59" t="s">
        <v>13</v>
      </c>
      <c r="E15" s="60" t="s">
        <v>14</v>
      </c>
      <c r="F15" s="61" t="s">
        <v>15</v>
      </c>
      <c r="G15" s="62" t="s">
        <v>23</v>
      </c>
      <c r="H15" s="1" t="s">
        <v>16</v>
      </c>
      <c r="I15" s="1" t="s">
        <v>17</v>
      </c>
      <c r="J15" s="1" t="s">
        <v>18</v>
      </c>
      <c r="K15" s="3" t="s">
        <v>19</v>
      </c>
    </row>
    <row r="16" spans="1:12" s="97" customFormat="1" ht="66.75" customHeight="1">
      <c r="A16" s="81">
        <v>1</v>
      </c>
      <c r="B16" s="82" t="s">
        <v>228</v>
      </c>
      <c r="C16" s="86" t="s">
        <v>20</v>
      </c>
      <c r="D16" s="87" t="s">
        <v>301</v>
      </c>
      <c r="E16" s="88" t="s">
        <v>302</v>
      </c>
      <c r="F16" s="89">
        <v>12270960</v>
      </c>
      <c r="G16" s="84" t="s">
        <v>3</v>
      </c>
      <c r="H16" s="94"/>
      <c r="I16" s="95"/>
      <c r="J16" s="95"/>
      <c r="K16" s="95"/>
      <c r="L16" s="96"/>
    </row>
    <row r="17" spans="1:13" s="97" customFormat="1" ht="66.75" customHeight="1">
      <c r="A17" s="81">
        <v>2</v>
      </c>
      <c r="B17" s="82" t="s">
        <v>278</v>
      </c>
      <c r="C17" s="86" t="s">
        <v>20</v>
      </c>
      <c r="D17" s="87" t="s">
        <v>61</v>
      </c>
      <c r="E17" s="88" t="s">
        <v>295</v>
      </c>
      <c r="F17" s="89">
        <v>799314562</v>
      </c>
      <c r="G17" s="84" t="s">
        <v>3</v>
      </c>
      <c r="H17" s="94"/>
      <c r="I17" s="95"/>
      <c r="J17" s="95"/>
      <c r="K17" s="95"/>
      <c r="L17" s="96"/>
    </row>
    <row r="18" spans="1:13" s="96" customFormat="1" ht="66.75" customHeight="1">
      <c r="A18" s="81">
        <v>3</v>
      </c>
      <c r="B18" s="82" t="s">
        <v>278</v>
      </c>
      <c r="C18" s="90" t="s">
        <v>20</v>
      </c>
      <c r="D18" s="91" t="s">
        <v>178</v>
      </c>
      <c r="E18" s="84" t="s">
        <v>296</v>
      </c>
      <c r="F18" s="104">
        <v>1599314562</v>
      </c>
      <c r="G18" s="93" t="s">
        <v>3</v>
      </c>
      <c r="H18" s="93"/>
      <c r="I18" s="95"/>
      <c r="J18" s="95"/>
      <c r="K18" s="95"/>
    </row>
    <row r="19" spans="1:13" s="96" customFormat="1" ht="119.25" customHeight="1">
      <c r="A19" s="81">
        <v>4</v>
      </c>
      <c r="B19" s="82" t="s">
        <v>274</v>
      </c>
      <c r="C19" s="90" t="s">
        <v>20</v>
      </c>
      <c r="D19" s="83" t="s">
        <v>267</v>
      </c>
      <c r="E19" s="84" t="s">
        <v>268</v>
      </c>
      <c r="F19" s="104">
        <v>150749137</v>
      </c>
      <c r="G19" s="93" t="s">
        <v>5</v>
      </c>
      <c r="H19" s="93"/>
      <c r="I19" s="95"/>
      <c r="J19" s="95"/>
      <c r="K19" s="98"/>
      <c r="L19" s="99"/>
      <c r="M19" s="100"/>
    </row>
    <row r="20" spans="1:13" s="97" customFormat="1" ht="94.5" customHeight="1">
      <c r="A20" s="81">
        <v>5</v>
      </c>
      <c r="B20" s="82" t="s">
        <v>274</v>
      </c>
      <c r="C20" s="90" t="s">
        <v>20</v>
      </c>
      <c r="D20" s="83" t="s">
        <v>303</v>
      </c>
      <c r="E20" s="84" t="s">
        <v>304</v>
      </c>
      <c r="F20" s="104">
        <v>18900000</v>
      </c>
      <c r="G20" s="93" t="s">
        <v>5</v>
      </c>
      <c r="H20" s="94"/>
      <c r="I20" s="95"/>
      <c r="J20" s="95"/>
      <c r="K20" s="98"/>
      <c r="L20" s="99"/>
      <c r="M20" s="100"/>
    </row>
    <row r="21" spans="1:13" s="97" customFormat="1" ht="66.75" customHeight="1">
      <c r="A21" s="81">
        <v>6</v>
      </c>
      <c r="B21" s="82" t="s">
        <v>274</v>
      </c>
      <c r="C21" s="90" t="s">
        <v>20</v>
      </c>
      <c r="D21" s="83" t="s">
        <v>101</v>
      </c>
      <c r="E21" s="84" t="s">
        <v>305</v>
      </c>
      <c r="F21" s="104">
        <v>137000000</v>
      </c>
      <c r="G21" s="93" t="s">
        <v>47</v>
      </c>
      <c r="H21" s="94"/>
      <c r="I21" s="95"/>
      <c r="J21" s="95"/>
      <c r="K21" s="95"/>
      <c r="L21" s="96"/>
      <c r="M21" s="96"/>
    </row>
    <row r="22" spans="1:13" s="100" customFormat="1" ht="66.75" customHeight="1">
      <c r="A22" s="81">
        <v>7</v>
      </c>
      <c r="B22" s="82" t="s">
        <v>274</v>
      </c>
      <c r="C22" s="86" t="s">
        <v>20</v>
      </c>
      <c r="D22" s="87" t="s">
        <v>262</v>
      </c>
      <c r="E22" s="88" t="s">
        <v>306</v>
      </c>
      <c r="F22" s="89">
        <v>3620172000</v>
      </c>
      <c r="G22" s="88" t="s">
        <v>47</v>
      </c>
      <c r="H22" s="93"/>
      <c r="I22" s="95"/>
      <c r="J22" s="95"/>
      <c r="K22" s="95"/>
      <c r="L22" s="96"/>
      <c r="M22" s="97"/>
    </row>
    <row r="23" spans="1:13" s="100" customFormat="1" ht="66.75" customHeight="1">
      <c r="A23" s="81">
        <v>8</v>
      </c>
      <c r="B23" s="82" t="s">
        <v>107</v>
      </c>
      <c r="C23" s="82" t="s">
        <v>20</v>
      </c>
      <c r="D23" s="91" t="s">
        <v>58</v>
      </c>
      <c r="E23" s="84" t="s">
        <v>307</v>
      </c>
      <c r="F23" s="104">
        <v>986552096</v>
      </c>
      <c r="G23" s="93" t="s">
        <v>8</v>
      </c>
      <c r="H23" s="93"/>
      <c r="I23" s="95"/>
      <c r="J23" s="95"/>
      <c r="K23" s="98"/>
      <c r="L23" s="99"/>
    </row>
    <row r="24" spans="1:13" s="100" customFormat="1" ht="66.75" customHeight="1">
      <c r="A24" s="81">
        <v>9</v>
      </c>
      <c r="B24" s="82" t="s">
        <v>274</v>
      </c>
      <c r="C24" s="82" t="s">
        <v>20</v>
      </c>
      <c r="D24" s="91" t="s">
        <v>234</v>
      </c>
      <c r="E24" s="84" t="s">
        <v>235</v>
      </c>
      <c r="F24" s="104">
        <v>1623526253</v>
      </c>
      <c r="G24" s="93" t="s">
        <v>179</v>
      </c>
      <c r="H24" s="93"/>
      <c r="I24" s="95"/>
      <c r="J24" s="95"/>
      <c r="K24" s="98"/>
      <c r="L24" s="99"/>
    </row>
    <row r="25" spans="1:13" s="100" customFormat="1" ht="66.75" customHeight="1">
      <c r="A25" s="81">
        <v>10</v>
      </c>
      <c r="B25" s="82" t="s">
        <v>274</v>
      </c>
      <c r="C25" s="82" t="s">
        <v>20</v>
      </c>
      <c r="D25" s="91" t="s">
        <v>308</v>
      </c>
      <c r="E25" s="84" t="s">
        <v>309</v>
      </c>
      <c r="F25" s="104">
        <v>24000000</v>
      </c>
      <c r="G25" s="93" t="s">
        <v>179</v>
      </c>
      <c r="H25" s="93"/>
      <c r="I25" s="95"/>
      <c r="J25" s="95"/>
      <c r="K25" s="98"/>
      <c r="L25" s="99"/>
    </row>
    <row r="26" spans="1:13" s="100" customFormat="1" ht="66.75" customHeight="1">
      <c r="A26" s="81">
        <v>11</v>
      </c>
      <c r="B26" s="82" t="s">
        <v>274</v>
      </c>
      <c r="C26" s="82" t="s">
        <v>20</v>
      </c>
      <c r="D26" s="91" t="s">
        <v>310</v>
      </c>
      <c r="E26" s="84" t="s">
        <v>311</v>
      </c>
      <c r="F26" s="104">
        <v>761126448</v>
      </c>
      <c r="G26" s="93" t="s">
        <v>209</v>
      </c>
      <c r="H26" s="93"/>
      <c r="I26" s="95"/>
      <c r="J26" s="95"/>
      <c r="K26" s="98"/>
      <c r="L26" s="99"/>
    </row>
    <row r="27" spans="1:13" s="100" customFormat="1" ht="66.75" customHeight="1">
      <c r="A27" s="81">
        <v>12</v>
      </c>
      <c r="B27" s="82" t="s">
        <v>274</v>
      </c>
      <c r="C27" s="82" t="s">
        <v>20</v>
      </c>
      <c r="D27" s="91" t="s">
        <v>312</v>
      </c>
      <c r="E27" s="84" t="s">
        <v>313</v>
      </c>
      <c r="F27" s="104">
        <v>100000000</v>
      </c>
      <c r="G27" s="93" t="s">
        <v>179</v>
      </c>
      <c r="H27" s="93"/>
      <c r="I27" s="95"/>
      <c r="J27" s="95"/>
      <c r="K27" s="98"/>
      <c r="L27" s="99"/>
    </row>
  </sheetData>
  <autoFilter ref="A15:M22" xr:uid="{C155F3F1-DB5D-4AC8-BEB0-4347C3A784A1}">
    <sortState ref="A16:M33">
      <sortCondition ref="G15:G22"/>
    </sortState>
  </autoFilter>
  <mergeCells count="1">
    <mergeCell ref="A13:E13"/>
  </mergeCells>
  <dataValidations count="2">
    <dataValidation type="list" allowBlank="1" showInputMessage="1" showErrorMessage="1" sqref="G23:G42" xr:uid="{637D060E-E409-4AFB-8EFA-6A8CC8BC047B}">
      <formula1>$B$2:$B$12</formula1>
    </dataValidation>
    <dataValidation type="list" allowBlank="1" showInputMessage="1" showErrorMessage="1" sqref="C18:C19" xr:uid="{F6E284F1-3602-44EB-8F2E-02EF68EF1550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3A0A-2B1C-45EE-9C70-D4C278F26A30}">
  <sheetPr>
    <pageSetUpPr fitToPage="1"/>
  </sheetPr>
  <dimension ref="A1:M22"/>
  <sheetViews>
    <sheetView topLeftCell="A12" zoomScale="60" zoomScaleNormal="60" workbookViewId="0">
      <selection activeCell="D24" sqref="D24"/>
    </sheetView>
  </sheetViews>
  <sheetFormatPr defaultColWidth="9.140625" defaultRowHeight="15.75"/>
  <cols>
    <col min="1" max="1" width="4.42578125" style="34" bestFit="1" customWidth="1"/>
    <col min="2" max="2" width="28.7109375" style="34" customWidth="1"/>
    <col min="3" max="3" width="11.85546875" style="35" customWidth="1"/>
    <col min="4" max="4" width="68.140625" style="36" customWidth="1"/>
    <col min="5" max="5" width="60.42578125" style="54" customWidth="1"/>
    <col min="6" max="6" width="23.42578125" style="37" customWidth="1"/>
    <col min="7" max="7" width="32.57031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2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2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2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2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2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2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2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2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2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2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2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2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2" s="21" customFormat="1" ht="15">
      <c r="A13" s="26"/>
      <c r="B13" s="26"/>
      <c r="C13" s="27"/>
      <c r="D13" s="28"/>
      <c r="E13" s="49"/>
      <c r="F13" s="20"/>
      <c r="L13" s="19"/>
    </row>
    <row r="14" spans="1:12" s="4" customFormat="1" ht="42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2" s="97" customFormat="1" ht="66.75" customHeight="1">
      <c r="A15" s="81">
        <v>1</v>
      </c>
      <c r="B15" s="82" t="s">
        <v>278</v>
      </c>
      <c r="C15" s="86" t="s">
        <v>20</v>
      </c>
      <c r="D15" s="87" t="s">
        <v>61</v>
      </c>
      <c r="E15" s="88" t="s">
        <v>295</v>
      </c>
      <c r="F15" s="89" t="s">
        <v>250</v>
      </c>
      <c r="G15" s="84" t="s">
        <v>3</v>
      </c>
      <c r="H15" s="94"/>
      <c r="I15" s="95"/>
      <c r="J15" s="95"/>
      <c r="K15" s="95"/>
      <c r="L15" s="96"/>
    </row>
    <row r="16" spans="1:12" s="97" customFormat="1" ht="66.75" customHeight="1">
      <c r="A16" s="81">
        <v>2</v>
      </c>
      <c r="B16" s="82" t="s">
        <v>278</v>
      </c>
      <c r="C16" s="86" t="s">
        <v>20</v>
      </c>
      <c r="D16" s="87" t="s">
        <v>178</v>
      </c>
      <c r="E16" s="88" t="s">
        <v>296</v>
      </c>
      <c r="F16" s="89" t="s">
        <v>252</v>
      </c>
      <c r="G16" s="84" t="s">
        <v>3</v>
      </c>
      <c r="H16" s="94"/>
      <c r="I16" s="95"/>
      <c r="J16" s="95"/>
      <c r="K16" s="95"/>
      <c r="L16" s="96"/>
    </row>
    <row r="17" spans="1:13" s="96" customFormat="1" ht="66.75" customHeight="1">
      <c r="A17" s="81">
        <v>3</v>
      </c>
      <c r="B17" s="82" t="s">
        <v>274</v>
      </c>
      <c r="C17" s="90" t="s">
        <v>20</v>
      </c>
      <c r="D17" s="91" t="s">
        <v>267</v>
      </c>
      <c r="E17" s="84" t="s">
        <v>268</v>
      </c>
      <c r="F17" s="104" t="s">
        <v>269</v>
      </c>
      <c r="G17" s="93" t="s">
        <v>5</v>
      </c>
      <c r="H17" s="93"/>
      <c r="I17" s="95"/>
      <c r="J17" s="95"/>
      <c r="K17" s="95"/>
    </row>
    <row r="18" spans="1:13" s="96" customFormat="1" ht="66.75" customHeight="1">
      <c r="A18" s="81">
        <v>4</v>
      </c>
      <c r="B18" s="82" t="s">
        <v>274</v>
      </c>
      <c r="C18" s="90" t="s">
        <v>20</v>
      </c>
      <c r="D18" s="83" t="s">
        <v>234</v>
      </c>
      <c r="E18" s="84" t="s">
        <v>235</v>
      </c>
      <c r="F18" s="104" t="s">
        <v>236</v>
      </c>
      <c r="G18" s="93" t="s">
        <v>179</v>
      </c>
      <c r="H18" s="93"/>
      <c r="I18" s="95"/>
      <c r="J18" s="95"/>
      <c r="K18" s="98"/>
      <c r="L18" s="99"/>
      <c r="M18" s="100"/>
    </row>
    <row r="19" spans="1:13" s="97" customFormat="1" ht="94.5" customHeight="1">
      <c r="A19" s="81">
        <v>5</v>
      </c>
      <c r="B19" s="82" t="s">
        <v>274</v>
      </c>
      <c r="C19" s="90" t="s">
        <v>20</v>
      </c>
      <c r="D19" s="83" t="s">
        <v>231</v>
      </c>
      <c r="E19" s="84" t="s">
        <v>272</v>
      </c>
      <c r="F19" s="104" t="s">
        <v>273</v>
      </c>
      <c r="G19" s="93" t="s">
        <v>179</v>
      </c>
      <c r="H19" s="94"/>
      <c r="I19" s="95"/>
      <c r="J19" s="95"/>
      <c r="K19" s="98"/>
      <c r="L19" s="99"/>
      <c r="M19" s="100"/>
    </row>
    <row r="20" spans="1:13" s="97" customFormat="1" ht="66.75" customHeight="1">
      <c r="A20" s="81">
        <v>6</v>
      </c>
      <c r="B20" s="82" t="s">
        <v>107</v>
      </c>
      <c r="C20" s="90" t="s">
        <v>20</v>
      </c>
      <c r="D20" s="83" t="s">
        <v>57</v>
      </c>
      <c r="E20" s="84" t="s">
        <v>283</v>
      </c>
      <c r="F20" s="104">
        <v>1000000000</v>
      </c>
      <c r="G20" s="93" t="s">
        <v>8</v>
      </c>
      <c r="H20" s="94"/>
      <c r="I20" s="95"/>
      <c r="J20" s="95"/>
      <c r="K20" s="95"/>
      <c r="L20" s="96"/>
      <c r="M20" s="96"/>
    </row>
    <row r="21" spans="1:13" s="100" customFormat="1" ht="66.75" customHeight="1">
      <c r="A21" s="81">
        <v>7</v>
      </c>
      <c r="B21" s="82" t="s">
        <v>107</v>
      </c>
      <c r="C21" s="86" t="s">
        <v>20</v>
      </c>
      <c r="D21" s="87" t="s">
        <v>58</v>
      </c>
      <c r="E21" s="88" t="s">
        <v>285</v>
      </c>
      <c r="F21" s="89" t="s">
        <v>297</v>
      </c>
      <c r="G21" s="88" t="s">
        <v>8</v>
      </c>
      <c r="H21" s="93"/>
      <c r="I21" s="95"/>
      <c r="J21" s="95"/>
      <c r="K21" s="95"/>
      <c r="L21" s="96"/>
      <c r="M21" s="97"/>
    </row>
    <row r="22" spans="1:13" s="100" customFormat="1" ht="66.75" customHeight="1">
      <c r="A22" s="81">
        <v>8</v>
      </c>
      <c r="B22" s="82" t="s">
        <v>107</v>
      </c>
      <c r="C22" s="82" t="s">
        <v>20</v>
      </c>
      <c r="D22" s="91" t="s">
        <v>298</v>
      </c>
      <c r="E22" s="84" t="s">
        <v>299</v>
      </c>
      <c r="F22" s="104" t="s">
        <v>300</v>
      </c>
      <c r="G22" s="93" t="s">
        <v>8</v>
      </c>
      <c r="H22" s="93"/>
      <c r="I22" s="95"/>
      <c r="J22" s="95"/>
      <c r="K22" s="98"/>
      <c r="L22" s="99"/>
    </row>
  </sheetData>
  <autoFilter ref="A14:M21" xr:uid="{C155F3F1-DB5D-4AC8-BEB0-4347C3A784A1}">
    <sortState ref="A15:M32">
      <sortCondition ref="G14:G21"/>
    </sortState>
  </autoFilter>
  <mergeCells count="1">
    <mergeCell ref="A12:E12"/>
  </mergeCells>
  <dataValidations disablePrompts="1" count="2">
    <dataValidation type="list" allowBlank="1" showInputMessage="1" showErrorMessage="1" sqref="C17:C18 C22" xr:uid="{3E7E37AD-58CF-4350-A044-A2BD91E8AC58}">
      <formula1>#REF!</formula1>
    </dataValidation>
    <dataValidation type="list" allowBlank="1" showInputMessage="1" showErrorMessage="1" sqref="G23:G42" xr:uid="{3CFBCE54-F009-4E62-8576-9AA3ACC84534}">
      <formula1>$B$2:$B$11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9F77-7F43-4D13-A402-F5C7D08BC66A}">
  <sheetPr>
    <pageSetUpPr fitToPage="1"/>
  </sheetPr>
  <dimension ref="A1:M32"/>
  <sheetViews>
    <sheetView topLeftCell="A12" zoomScale="60" zoomScaleNormal="60" workbookViewId="0">
      <selection activeCell="D30" sqref="D30"/>
    </sheetView>
  </sheetViews>
  <sheetFormatPr defaultColWidth="9.140625" defaultRowHeight="15.75"/>
  <cols>
    <col min="1" max="1" width="4.42578125" style="34" bestFit="1" customWidth="1"/>
    <col min="2" max="2" width="28.7109375" style="34" customWidth="1"/>
    <col min="3" max="3" width="11.85546875" style="35" customWidth="1"/>
    <col min="4" max="4" width="68.140625" style="36" customWidth="1"/>
    <col min="5" max="5" width="60.42578125" style="54" customWidth="1"/>
    <col min="6" max="6" width="23.42578125" style="37" customWidth="1"/>
    <col min="7" max="7" width="32.57031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2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2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2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2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2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2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2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2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2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2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2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2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2" s="21" customFormat="1" ht="15">
      <c r="A13" s="26"/>
      <c r="B13" s="26"/>
      <c r="C13" s="27"/>
      <c r="D13" s="28"/>
      <c r="E13" s="49"/>
      <c r="F13" s="20"/>
      <c r="L13" s="19"/>
    </row>
    <row r="14" spans="1:12" s="4" customFormat="1" ht="42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2" s="97" customFormat="1" ht="66.75" customHeight="1">
      <c r="A15" s="81">
        <v>1</v>
      </c>
      <c r="B15" s="82" t="s">
        <v>274</v>
      </c>
      <c r="C15" s="86" t="s">
        <v>20</v>
      </c>
      <c r="D15" s="87" t="s">
        <v>259</v>
      </c>
      <c r="E15" s="88" t="s">
        <v>260</v>
      </c>
      <c r="F15" s="89" t="s">
        <v>261</v>
      </c>
      <c r="G15" s="84" t="s">
        <v>47</v>
      </c>
      <c r="H15" s="94"/>
      <c r="I15" s="95"/>
      <c r="J15" s="95"/>
      <c r="K15" s="95"/>
      <c r="L15" s="96"/>
    </row>
    <row r="16" spans="1:12" s="97" customFormat="1" ht="66.75" customHeight="1">
      <c r="A16" s="81">
        <v>2</v>
      </c>
      <c r="B16" s="82" t="s">
        <v>274</v>
      </c>
      <c r="C16" s="86" t="s">
        <v>20</v>
      </c>
      <c r="D16" s="87" t="s">
        <v>262</v>
      </c>
      <c r="E16" s="88" t="s">
        <v>263</v>
      </c>
      <c r="F16" s="89" t="s">
        <v>264</v>
      </c>
      <c r="G16" s="84" t="s">
        <v>47</v>
      </c>
      <c r="H16" s="94"/>
      <c r="I16" s="95"/>
      <c r="J16" s="95"/>
      <c r="K16" s="95"/>
      <c r="L16" s="96"/>
    </row>
    <row r="17" spans="1:13" s="96" customFormat="1" ht="66.75" customHeight="1">
      <c r="A17" s="81">
        <v>3</v>
      </c>
      <c r="B17" s="82" t="s">
        <v>274</v>
      </c>
      <c r="C17" s="90" t="s">
        <v>20</v>
      </c>
      <c r="D17" s="91" t="s">
        <v>262</v>
      </c>
      <c r="E17" s="84" t="s">
        <v>265</v>
      </c>
      <c r="F17" s="104" t="s">
        <v>266</v>
      </c>
      <c r="G17" s="93" t="s">
        <v>47</v>
      </c>
      <c r="H17" s="93"/>
      <c r="I17" s="95"/>
      <c r="J17" s="95"/>
      <c r="K17" s="95"/>
    </row>
    <row r="18" spans="1:13" s="96" customFormat="1" ht="66.75" customHeight="1">
      <c r="A18" s="81">
        <v>4</v>
      </c>
      <c r="B18" s="82" t="s">
        <v>278</v>
      </c>
      <c r="C18" s="90" t="s">
        <v>92</v>
      </c>
      <c r="D18" s="83" t="s">
        <v>218</v>
      </c>
      <c r="E18" s="84" t="s">
        <v>279</v>
      </c>
      <c r="F18" s="104" t="s">
        <v>281</v>
      </c>
      <c r="G18" s="93" t="s">
        <v>3</v>
      </c>
      <c r="H18" s="93"/>
      <c r="I18" s="95"/>
      <c r="J18" s="95"/>
      <c r="K18" s="98"/>
      <c r="L18" s="99"/>
      <c r="M18" s="100"/>
    </row>
    <row r="19" spans="1:13" s="97" customFormat="1" ht="94.5" customHeight="1">
      <c r="A19" s="81">
        <v>5</v>
      </c>
      <c r="B19" s="82" t="s">
        <v>278</v>
      </c>
      <c r="C19" s="90" t="s">
        <v>92</v>
      </c>
      <c r="D19" s="83" t="s">
        <v>218</v>
      </c>
      <c r="E19" s="84" t="s">
        <v>279</v>
      </c>
      <c r="F19" s="104" t="s">
        <v>282</v>
      </c>
      <c r="G19" s="93" t="s">
        <v>3</v>
      </c>
      <c r="H19" s="94"/>
      <c r="I19" s="95"/>
      <c r="J19" s="95"/>
      <c r="K19" s="98"/>
      <c r="L19" s="99"/>
      <c r="M19" s="100"/>
    </row>
    <row r="20" spans="1:13" s="97" customFormat="1" ht="66.75" customHeight="1">
      <c r="A20" s="81">
        <v>6</v>
      </c>
      <c r="B20" s="82" t="s">
        <v>274</v>
      </c>
      <c r="C20" s="90" t="s">
        <v>20</v>
      </c>
      <c r="D20" s="83" t="s">
        <v>267</v>
      </c>
      <c r="E20" s="84" t="s">
        <v>268</v>
      </c>
      <c r="F20" s="104" t="s">
        <v>269</v>
      </c>
      <c r="G20" s="93" t="s">
        <v>5</v>
      </c>
      <c r="H20" s="94"/>
      <c r="I20" s="95"/>
      <c r="J20" s="95"/>
      <c r="K20" s="95"/>
      <c r="L20" s="96"/>
      <c r="M20" s="96"/>
    </row>
    <row r="21" spans="1:13" s="100" customFormat="1" ht="66.75" customHeight="1">
      <c r="A21" s="81">
        <v>7</v>
      </c>
      <c r="B21" s="82" t="s">
        <v>274</v>
      </c>
      <c r="C21" s="86" t="s">
        <v>20</v>
      </c>
      <c r="D21" s="87" t="s">
        <v>205</v>
      </c>
      <c r="E21" s="88" t="s">
        <v>270</v>
      </c>
      <c r="F21" s="89" t="s">
        <v>271</v>
      </c>
      <c r="G21" s="88" t="s">
        <v>209</v>
      </c>
      <c r="H21" s="93"/>
      <c r="I21" s="95"/>
      <c r="J21" s="95"/>
      <c r="K21" s="95"/>
      <c r="L21" s="96"/>
      <c r="M21" s="97"/>
    </row>
    <row r="22" spans="1:13" s="100" customFormat="1" ht="66.75" customHeight="1">
      <c r="A22" s="81">
        <v>8</v>
      </c>
      <c r="B22" s="82" t="s">
        <v>274</v>
      </c>
      <c r="C22" s="82" t="s">
        <v>20</v>
      </c>
      <c r="D22" s="83" t="s">
        <v>234</v>
      </c>
      <c r="E22" s="84" t="s">
        <v>235</v>
      </c>
      <c r="F22" s="85" t="s">
        <v>236</v>
      </c>
      <c r="G22" s="84" t="s">
        <v>179</v>
      </c>
      <c r="H22" s="93"/>
      <c r="I22" s="95"/>
      <c r="J22" s="95"/>
      <c r="K22" s="95"/>
      <c r="L22" s="96"/>
      <c r="M22" s="97"/>
    </row>
    <row r="23" spans="1:13" s="100" customFormat="1" ht="66.75" customHeight="1">
      <c r="A23" s="81">
        <v>9</v>
      </c>
      <c r="B23" s="82" t="s">
        <v>274</v>
      </c>
      <c r="C23" s="82" t="s">
        <v>20</v>
      </c>
      <c r="D23" s="91" t="s">
        <v>231</v>
      </c>
      <c r="E23" s="84" t="s">
        <v>272</v>
      </c>
      <c r="F23" s="104" t="s">
        <v>273</v>
      </c>
      <c r="G23" s="93" t="s">
        <v>179</v>
      </c>
      <c r="H23" s="93"/>
      <c r="I23" s="95"/>
      <c r="J23" s="95"/>
      <c r="K23" s="98"/>
      <c r="L23" s="99"/>
    </row>
    <row r="24" spans="1:13" s="100" customFormat="1" ht="66.75" customHeight="1">
      <c r="A24" s="81">
        <v>10</v>
      </c>
      <c r="B24" s="82" t="s">
        <v>228</v>
      </c>
      <c r="C24" s="82" t="s">
        <v>20</v>
      </c>
      <c r="D24" s="91" t="s">
        <v>293</v>
      </c>
      <c r="E24" s="84" t="s">
        <v>294</v>
      </c>
      <c r="F24" s="104" t="s">
        <v>248</v>
      </c>
      <c r="G24" s="93" t="s">
        <v>179</v>
      </c>
      <c r="H24" s="93"/>
      <c r="I24" s="95"/>
      <c r="J24" s="95"/>
      <c r="K24" s="98"/>
      <c r="L24" s="99"/>
    </row>
    <row r="25" spans="1:13" s="100" customFormat="1" ht="66.75" customHeight="1">
      <c r="A25" s="81">
        <v>11</v>
      </c>
      <c r="B25" s="82" t="s">
        <v>274</v>
      </c>
      <c r="C25" s="82" t="s">
        <v>20</v>
      </c>
      <c r="D25" s="91" t="s">
        <v>275</v>
      </c>
      <c r="E25" s="84" t="s">
        <v>276</v>
      </c>
      <c r="F25" s="104" t="s">
        <v>277</v>
      </c>
      <c r="G25" s="93" t="s">
        <v>8</v>
      </c>
      <c r="H25" s="93"/>
      <c r="I25" s="95"/>
      <c r="J25" s="95"/>
      <c r="K25" s="98"/>
      <c r="L25" s="99"/>
    </row>
    <row r="26" spans="1:13" s="100" customFormat="1" ht="66.75" customHeight="1">
      <c r="A26" s="81">
        <v>12</v>
      </c>
      <c r="B26" s="82" t="s">
        <v>107</v>
      </c>
      <c r="C26" s="82" t="s">
        <v>20</v>
      </c>
      <c r="D26" s="91" t="s">
        <v>57</v>
      </c>
      <c r="E26" s="84" t="s">
        <v>283</v>
      </c>
      <c r="F26" s="104" t="s">
        <v>284</v>
      </c>
      <c r="G26" s="93" t="s">
        <v>8</v>
      </c>
      <c r="H26" s="93"/>
      <c r="I26" s="95"/>
      <c r="J26" s="95"/>
      <c r="K26" s="98"/>
      <c r="L26" s="99"/>
    </row>
    <row r="27" spans="1:13" s="100" customFormat="1" ht="66.75" customHeight="1">
      <c r="A27" s="81">
        <v>13</v>
      </c>
      <c r="B27" s="82" t="s">
        <v>107</v>
      </c>
      <c r="C27" s="82" t="s">
        <v>20</v>
      </c>
      <c r="D27" s="91" t="s">
        <v>58</v>
      </c>
      <c r="E27" s="84" t="s">
        <v>285</v>
      </c>
      <c r="F27" s="104" t="s">
        <v>286</v>
      </c>
      <c r="G27" s="93" t="s">
        <v>8</v>
      </c>
      <c r="H27" s="93"/>
      <c r="I27" s="95"/>
      <c r="J27" s="95"/>
      <c r="K27" s="98"/>
      <c r="L27" s="99"/>
    </row>
    <row r="28" spans="1:13" s="100" customFormat="1" ht="66.75" customHeight="1">
      <c r="A28" s="81">
        <v>14</v>
      </c>
      <c r="B28" s="82" t="s">
        <v>107</v>
      </c>
      <c r="C28" s="82" t="s">
        <v>92</v>
      </c>
      <c r="D28" s="91" t="s">
        <v>93</v>
      </c>
      <c r="E28" s="84" t="s">
        <v>222</v>
      </c>
      <c r="F28" s="104" t="s">
        <v>280</v>
      </c>
      <c r="G28" s="93" t="s">
        <v>8</v>
      </c>
      <c r="H28" s="93"/>
      <c r="I28" s="95"/>
      <c r="J28" s="95"/>
      <c r="K28" s="98"/>
      <c r="L28" s="99"/>
    </row>
    <row r="29" spans="1:13" s="100" customFormat="1" ht="66.75" customHeight="1">
      <c r="A29" s="81">
        <v>15</v>
      </c>
      <c r="B29" s="82" t="s">
        <v>107</v>
      </c>
      <c r="C29" s="82" t="s">
        <v>20</v>
      </c>
      <c r="D29" s="91" t="s">
        <v>180</v>
      </c>
      <c r="E29" s="84" t="s">
        <v>287</v>
      </c>
      <c r="F29" s="104" t="s">
        <v>288</v>
      </c>
      <c r="G29" s="93" t="s">
        <v>8</v>
      </c>
      <c r="H29" s="93"/>
      <c r="I29" s="95"/>
      <c r="J29" s="95"/>
      <c r="K29" s="98"/>
      <c r="L29" s="99"/>
    </row>
    <row r="30" spans="1:13" s="100" customFormat="1" ht="66.75" customHeight="1">
      <c r="A30" s="81">
        <v>16</v>
      </c>
      <c r="B30" s="82" t="s">
        <v>107</v>
      </c>
      <c r="C30" s="82" t="s">
        <v>20</v>
      </c>
      <c r="D30" s="91" t="s">
        <v>58</v>
      </c>
      <c r="E30" s="84" t="s">
        <v>289</v>
      </c>
      <c r="F30" s="104" t="s">
        <v>290</v>
      </c>
      <c r="G30" s="93" t="s">
        <v>8</v>
      </c>
      <c r="H30" s="93"/>
      <c r="I30" s="95"/>
      <c r="J30" s="95"/>
      <c r="K30" s="98"/>
      <c r="L30" s="99"/>
    </row>
    <row r="31" spans="1:13" s="100" customFormat="1" ht="66.75" customHeight="1">
      <c r="A31" s="81">
        <v>17</v>
      </c>
      <c r="B31" s="82" t="s">
        <v>107</v>
      </c>
      <c r="C31" s="82" t="s">
        <v>20</v>
      </c>
      <c r="D31" s="91" t="s">
        <v>198</v>
      </c>
      <c r="E31" s="84" t="s">
        <v>199</v>
      </c>
      <c r="F31" s="104" t="s">
        <v>291</v>
      </c>
      <c r="G31" s="93" t="s">
        <v>8</v>
      </c>
      <c r="H31" s="93"/>
      <c r="I31" s="95"/>
      <c r="J31" s="95"/>
      <c r="K31" s="98"/>
      <c r="L31" s="99"/>
    </row>
    <row r="32" spans="1:13" s="100" customFormat="1" ht="66.75" customHeight="1">
      <c r="A32" s="81">
        <v>18</v>
      </c>
      <c r="B32" s="82" t="s">
        <v>107</v>
      </c>
      <c r="C32" s="82" t="s">
        <v>20</v>
      </c>
      <c r="D32" s="91" t="s">
        <v>225</v>
      </c>
      <c r="E32" s="84" t="s">
        <v>292</v>
      </c>
      <c r="F32" s="104" t="s">
        <v>227</v>
      </c>
      <c r="G32" s="93" t="s">
        <v>8</v>
      </c>
      <c r="H32" s="93"/>
      <c r="I32" s="95"/>
      <c r="J32" s="95"/>
      <c r="K32" s="98"/>
      <c r="L32" s="99"/>
    </row>
  </sheetData>
  <autoFilter ref="A14:M21" xr:uid="{C155F3F1-DB5D-4AC8-BEB0-4347C3A784A1}">
    <sortState ref="A15:M32">
      <sortCondition ref="G14:G21"/>
    </sortState>
  </autoFilter>
  <mergeCells count="1">
    <mergeCell ref="A12:E12"/>
  </mergeCells>
  <phoneticPr fontId="12" type="noConversion"/>
  <dataValidations count="2">
    <dataValidation type="list" allowBlank="1" showInputMessage="1" showErrorMessage="1" sqref="C17:C18 C23:C25" xr:uid="{46A26900-C2FD-4343-9C91-AB9138DEAC03}">
      <formula1>#REF!</formula1>
    </dataValidation>
    <dataValidation type="list" allowBlank="1" showInputMessage="1" showErrorMessage="1" sqref="G26:G52" xr:uid="{1169F919-5DED-44B0-98CF-D47205ACF54C}">
      <formula1>$B$2:$B$11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121E-A188-439F-8F8E-A0B955A31A86}">
  <sheetPr>
    <pageSetUpPr fitToPage="1"/>
  </sheetPr>
  <dimension ref="A1:L29"/>
  <sheetViews>
    <sheetView topLeftCell="A15" zoomScale="70" zoomScaleNormal="70" workbookViewId="0">
      <selection activeCell="E17" sqref="E17"/>
    </sheetView>
  </sheetViews>
  <sheetFormatPr defaultColWidth="9.140625" defaultRowHeight="15.75"/>
  <cols>
    <col min="1" max="1" width="4.42578125" style="34" bestFit="1" customWidth="1"/>
    <col min="2" max="2" width="28.7109375" style="34" customWidth="1"/>
    <col min="3" max="3" width="11.85546875" style="35" customWidth="1"/>
    <col min="4" max="4" width="68.140625" style="36" customWidth="1"/>
    <col min="5" max="5" width="60.42578125" style="54" customWidth="1"/>
    <col min="6" max="6" width="23.42578125" style="37" customWidth="1"/>
    <col min="7" max="7" width="32.57031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2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2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2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2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2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2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2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2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2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2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2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2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2" s="21" customFormat="1" ht="15">
      <c r="A13" s="26"/>
      <c r="B13" s="26"/>
      <c r="C13" s="27"/>
      <c r="D13" s="28"/>
      <c r="E13" s="49"/>
      <c r="F13" s="20"/>
      <c r="L13" s="19"/>
    </row>
    <row r="14" spans="1:12" s="4" customFormat="1" ht="42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2" s="97" customFormat="1" ht="63.75" customHeight="1">
      <c r="A15" s="81">
        <v>1</v>
      </c>
      <c r="B15" s="86" t="s">
        <v>212</v>
      </c>
      <c r="C15" s="86" t="s">
        <v>92</v>
      </c>
      <c r="D15" s="87" t="s">
        <v>218</v>
      </c>
      <c r="E15" s="88" t="s">
        <v>254</v>
      </c>
      <c r="F15" s="89" t="s">
        <v>219</v>
      </c>
      <c r="G15" s="84" t="s">
        <v>3</v>
      </c>
      <c r="H15" s="94"/>
      <c r="I15" s="95"/>
      <c r="J15" s="95"/>
      <c r="K15" s="95"/>
      <c r="L15" s="96"/>
    </row>
    <row r="16" spans="1:12" s="97" customFormat="1" ht="63.75" customHeight="1">
      <c r="A16" s="81">
        <v>2</v>
      </c>
      <c r="B16" s="82" t="s">
        <v>228</v>
      </c>
      <c r="C16" s="86" t="s">
        <v>92</v>
      </c>
      <c r="D16" s="87" t="s">
        <v>220</v>
      </c>
      <c r="E16" s="88" t="s">
        <v>255</v>
      </c>
      <c r="F16" s="89" t="s">
        <v>221</v>
      </c>
      <c r="G16" s="84" t="s">
        <v>47</v>
      </c>
      <c r="H16" s="94"/>
      <c r="I16" s="95"/>
      <c r="J16" s="95"/>
      <c r="K16" s="95"/>
      <c r="L16" s="96"/>
    </row>
    <row r="17" spans="1:12" s="96" customFormat="1" ht="63.75" customHeight="1">
      <c r="A17" s="81">
        <v>3</v>
      </c>
      <c r="B17" s="82" t="s">
        <v>107</v>
      </c>
      <c r="C17" s="90" t="s">
        <v>92</v>
      </c>
      <c r="D17" s="91" t="s">
        <v>93</v>
      </c>
      <c r="E17" s="84" t="s">
        <v>222</v>
      </c>
      <c r="F17" s="104" t="s">
        <v>223</v>
      </c>
      <c r="G17" s="93" t="s">
        <v>8</v>
      </c>
      <c r="H17" s="93"/>
      <c r="I17" s="95"/>
      <c r="J17" s="95"/>
      <c r="K17" s="95"/>
    </row>
    <row r="18" spans="1:12" s="96" customFormat="1" ht="63.75" customHeight="1">
      <c r="A18" s="81">
        <v>4</v>
      </c>
      <c r="B18" s="82" t="s">
        <v>107</v>
      </c>
      <c r="C18" s="90" t="s">
        <v>20</v>
      </c>
      <c r="D18" s="83" t="s">
        <v>198</v>
      </c>
      <c r="E18" s="84" t="s">
        <v>199</v>
      </c>
      <c r="F18" s="104" t="s">
        <v>224</v>
      </c>
      <c r="G18" s="93" t="s">
        <v>8</v>
      </c>
      <c r="H18" s="93"/>
      <c r="I18" s="95"/>
      <c r="J18" s="95"/>
      <c r="K18" s="95"/>
    </row>
    <row r="19" spans="1:12" s="97" customFormat="1" ht="63.75" customHeight="1">
      <c r="A19" s="81">
        <v>5</v>
      </c>
      <c r="B19" s="86" t="s">
        <v>107</v>
      </c>
      <c r="C19" s="86" t="s">
        <v>20</v>
      </c>
      <c r="D19" s="87" t="s">
        <v>225</v>
      </c>
      <c r="E19" s="88" t="s">
        <v>226</v>
      </c>
      <c r="F19" s="89" t="s">
        <v>227</v>
      </c>
      <c r="G19" s="88" t="s">
        <v>8</v>
      </c>
      <c r="H19" s="94"/>
      <c r="I19" s="95"/>
      <c r="J19" s="95"/>
      <c r="K19" s="95"/>
      <c r="L19" s="96"/>
    </row>
    <row r="20" spans="1:12" s="97" customFormat="1" ht="63.75" customHeight="1">
      <c r="A20" s="81">
        <v>6</v>
      </c>
      <c r="B20" s="82" t="s">
        <v>228</v>
      </c>
      <c r="C20" s="82" t="s">
        <v>20</v>
      </c>
      <c r="D20" s="83" t="s">
        <v>86</v>
      </c>
      <c r="E20" s="84" t="s">
        <v>229</v>
      </c>
      <c r="F20" s="85" t="s">
        <v>230</v>
      </c>
      <c r="G20" s="84" t="s">
        <v>209</v>
      </c>
      <c r="H20" s="94"/>
      <c r="I20" s="95"/>
      <c r="J20" s="95"/>
      <c r="K20" s="95"/>
      <c r="L20" s="96"/>
    </row>
    <row r="21" spans="1:12" s="100" customFormat="1" ht="63.75" customHeight="1">
      <c r="A21" s="81">
        <v>7</v>
      </c>
      <c r="B21" s="82" t="s">
        <v>228</v>
      </c>
      <c r="C21" s="82" t="s">
        <v>20</v>
      </c>
      <c r="D21" s="91" t="s">
        <v>231</v>
      </c>
      <c r="E21" s="84" t="s">
        <v>232</v>
      </c>
      <c r="F21" s="104" t="s">
        <v>233</v>
      </c>
      <c r="G21" s="93" t="s">
        <v>179</v>
      </c>
      <c r="H21" s="93"/>
      <c r="I21" s="95"/>
      <c r="J21" s="95"/>
      <c r="K21" s="98"/>
      <c r="L21" s="99"/>
    </row>
    <row r="22" spans="1:12" s="100" customFormat="1" ht="63.75" customHeight="1">
      <c r="A22" s="81">
        <v>8</v>
      </c>
      <c r="B22" s="82" t="s">
        <v>228</v>
      </c>
      <c r="C22" s="82" t="s">
        <v>20</v>
      </c>
      <c r="D22" s="91" t="s">
        <v>234</v>
      </c>
      <c r="E22" s="84" t="s">
        <v>235</v>
      </c>
      <c r="F22" s="104" t="s">
        <v>236</v>
      </c>
      <c r="G22" s="93" t="s">
        <v>179</v>
      </c>
      <c r="H22" s="93"/>
      <c r="I22" s="95"/>
      <c r="J22" s="95"/>
      <c r="K22" s="98"/>
      <c r="L22" s="99"/>
    </row>
    <row r="23" spans="1:12" s="100" customFormat="1" ht="63.75" customHeight="1">
      <c r="A23" s="81">
        <v>9</v>
      </c>
      <c r="B23" s="82" t="s">
        <v>228</v>
      </c>
      <c r="C23" s="90" t="s">
        <v>20</v>
      </c>
      <c r="D23" s="83" t="s">
        <v>214</v>
      </c>
      <c r="E23" s="84" t="s">
        <v>237</v>
      </c>
      <c r="F23" s="104" t="s">
        <v>238</v>
      </c>
      <c r="G23" s="93" t="s">
        <v>179</v>
      </c>
      <c r="H23" s="93"/>
      <c r="I23" s="95"/>
      <c r="J23" s="95"/>
      <c r="K23" s="98"/>
      <c r="L23" s="99"/>
    </row>
    <row r="24" spans="1:12" s="100" customFormat="1" ht="63.75" customHeight="1">
      <c r="A24" s="81">
        <v>10</v>
      </c>
      <c r="B24" s="82" t="s">
        <v>228</v>
      </c>
      <c r="C24" s="90" t="s">
        <v>20</v>
      </c>
      <c r="D24" s="83" t="s">
        <v>214</v>
      </c>
      <c r="E24" s="84" t="s">
        <v>239</v>
      </c>
      <c r="F24" s="104" t="s">
        <v>240</v>
      </c>
      <c r="G24" s="93" t="s">
        <v>179</v>
      </c>
      <c r="H24" s="93"/>
      <c r="I24" s="95"/>
      <c r="J24" s="95"/>
      <c r="K24" s="98"/>
      <c r="L24" s="99"/>
    </row>
    <row r="25" spans="1:12" s="100" customFormat="1" ht="63.75" customHeight="1">
      <c r="A25" s="81">
        <v>11</v>
      </c>
      <c r="B25" s="82" t="s">
        <v>228</v>
      </c>
      <c r="C25" s="90" t="s">
        <v>92</v>
      </c>
      <c r="D25" s="91" t="s">
        <v>241</v>
      </c>
      <c r="E25" s="84" t="s">
        <v>256</v>
      </c>
      <c r="F25" s="104" t="s">
        <v>242</v>
      </c>
      <c r="G25" s="93" t="s">
        <v>253</v>
      </c>
      <c r="H25" s="93"/>
      <c r="I25" s="95"/>
      <c r="J25" s="95"/>
      <c r="K25" s="98"/>
      <c r="L25" s="99"/>
    </row>
    <row r="26" spans="1:12" s="100" customFormat="1" ht="63.75" customHeight="1">
      <c r="A26" s="81">
        <v>12</v>
      </c>
      <c r="B26" s="82" t="s">
        <v>228</v>
      </c>
      <c r="C26" s="90" t="s">
        <v>20</v>
      </c>
      <c r="D26" s="91" t="s">
        <v>243</v>
      </c>
      <c r="E26" s="84" t="s">
        <v>244</v>
      </c>
      <c r="F26" s="104" t="s">
        <v>245</v>
      </c>
      <c r="G26" s="93" t="s">
        <v>179</v>
      </c>
      <c r="H26" s="93"/>
      <c r="I26" s="95"/>
      <c r="J26" s="95"/>
      <c r="K26" s="98"/>
      <c r="L26" s="99"/>
    </row>
    <row r="27" spans="1:12" s="100" customFormat="1" ht="63.75" customHeight="1">
      <c r="A27" s="81">
        <v>13</v>
      </c>
      <c r="B27" s="101" t="s">
        <v>228</v>
      </c>
      <c r="C27" s="90" t="s">
        <v>20</v>
      </c>
      <c r="D27" s="91" t="s">
        <v>246</v>
      </c>
      <c r="E27" s="102" t="s">
        <v>247</v>
      </c>
      <c r="F27" s="105" t="s">
        <v>248</v>
      </c>
      <c r="G27" s="93" t="s">
        <v>179</v>
      </c>
      <c r="H27" s="93"/>
      <c r="I27" s="95"/>
      <c r="J27" s="95"/>
      <c r="K27" s="98"/>
      <c r="L27" s="99"/>
    </row>
    <row r="28" spans="1:12" s="100" customFormat="1" ht="63.75" customHeight="1">
      <c r="A28" s="81">
        <v>14</v>
      </c>
      <c r="B28" s="101" t="s">
        <v>228</v>
      </c>
      <c r="C28" s="90" t="s">
        <v>20</v>
      </c>
      <c r="D28" s="91" t="s">
        <v>249</v>
      </c>
      <c r="E28" s="102" t="s">
        <v>257</v>
      </c>
      <c r="F28" s="105" t="s">
        <v>250</v>
      </c>
      <c r="G28" s="93" t="s">
        <v>3</v>
      </c>
      <c r="H28" s="93"/>
      <c r="I28" s="95"/>
      <c r="J28" s="95"/>
      <c r="K28" s="98"/>
      <c r="L28" s="99"/>
    </row>
    <row r="29" spans="1:12" s="100" customFormat="1" ht="63.75" customHeight="1">
      <c r="A29" s="81">
        <v>15</v>
      </c>
      <c r="B29" s="101" t="s">
        <v>228</v>
      </c>
      <c r="C29" s="90" t="s">
        <v>20</v>
      </c>
      <c r="D29" s="91" t="s">
        <v>251</v>
      </c>
      <c r="E29" s="103" t="s">
        <v>258</v>
      </c>
      <c r="F29" s="105" t="s">
        <v>252</v>
      </c>
      <c r="G29" s="93" t="s">
        <v>3</v>
      </c>
      <c r="H29" s="93"/>
      <c r="I29" s="95"/>
      <c r="J29" s="95"/>
      <c r="K29" s="98"/>
      <c r="L29" s="99"/>
    </row>
  </sheetData>
  <autoFilter ref="A14:M21" xr:uid="{C155F3F1-DB5D-4AC8-BEB0-4347C3A784A1}"/>
  <mergeCells count="1">
    <mergeCell ref="A12:E12"/>
  </mergeCells>
  <dataValidations count="2">
    <dataValidation type="list" allowBlank="1" showInputMessage="1" showErrorMessage="1" sqref="C17:C18 C23:C29" xr:uid="{2BB0F0B4-6436-4148-9F2E-4B1C212E4174}">
      <formula1>#REF!</formula1>
    </dataValidation>
    <dataValidation type="list" allowBlank="1" showInputMessage="1" showErrorMessage="1" sqref="G27:G58" xr:uid="{09A35E8E-8033-43E4-9DA4-5EADAF929321}">
      <formula1>$B$2:$B$11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DA46-6906-4846-9048-F0243C081A80}">
  <sheetPr>
    <pageSetUpPr fitToPage="1"/>
  </sheetPr>
  <dimension ref="A1:L29"/>
  <sheetViews>
    <sheetView topLeftCell="A12" zoomScale="70" zoomScaleNormal="70" workbookViewId="0">
      <selection activeCell="E22" sqref="E22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61.85546875" style="36" bestFit="1" customWidth="1"/>
    <col min="5" max="5" width="60.42578125" style="54" customWidth="1"/>
    <col min="6" max="6" width="23.42578125" style="37" customWidth="1"/>
    <col min="7" max="7" width="32.57031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2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2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2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2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2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2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2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2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2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2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2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2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2" s="21" customFormat="1" ht="15">
      <c r="A13" s="26"/>
      <c r="B13" s="26"/>
      <c r="C13" s="27"/>
      <c r="D13" s="28"/>
      <c r="E13" s="49"/>
      <c r="F13" s="20"/>
      <c r="L13" s="19"/>
    </row>
    <row r="14" spans="1:12" s="4" customFormat="1" ht="42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2" ht="57" customHeight="1">
      <c r="A15" s="81">
        <v>1</v>
      </c>
      <c r="B15" s="86" t="s">
        <v>85</v>
      </c>
      <c r="C15" s="86" t="s">
        <v>20</v>
      </c>
      <c r="D15" s="87" t="s">
        <v>205</v>
      </c>
      <c r="E15" s="88" t="s">
        <v>206</v>
      </c>
      <c r="F15" s="89">
        <v>3000000000</v>
      </c>
      <c r="G15" s="84" t="s">
        <v>209</v>
      </c>
      <c r="H15" s="56"/>
      <c r="I15" s="10"/>
      <c r="J15" s="10"/>
      <c r="K15" s="10"/>
    </row>
    <row r="16" spans="1:12" ht="57" customHeight="1">
      <c r="A16" s="81">
        <v>2</v>
      </c>
      <c r="B16" s="86" t="s">
        <v>85</v>
      </c>
      <c r="C16" s="86" t="s">
        <v>20</v>
      </c>
      <c r="D16" s="87" t="s">
        <v>207</v>
      </c>
      <c r="E16" s="88" t="s">
        <v>208</v>
      </c>
      <c r="F16" s="89">
        <v>284493595</v>
      </c>
      <c r="G16" s="84" t="s">
        <v>179</v>
      </c>
      <c r="H16" s="56"/>
      <c r="I16" s="10"/>
      <c r="J16" s="10"/>
      <c r="K16" s="10"/>
    </row>
    <row r="17" spans="1:12" s="13" customFormat="1" ht="57" customHeight="1">
      <c r="A17" s="81">
        <v>3</v>
      </c>
      <c r="B17" s="82" t="s">
        <v>212</v>
      </c>
      <c r="C17" s="90" t="s">
        <v>20</v>
      </c>
      <c r="D17" s="91" t="s">
        <v>213</v>
      </c>
      <c r="E17" s="84" t="s">
        <v>211</v>
      </c>
      <c r="F17" s="92">
        <v>10000000</v>
      </c>
      <c r="G17" s="93" t="s">
        <v>179</v>
      </c>
      <c r="H17" s="12"/>
      <c r="I17" s="10"/>
      <c r="J17" s="10"/>
      <c r="K17" s="10"/>
    </row>
    <row r="18" spans="1:12" s="13" customFormat="1" ht="57" customHeight="1">
      <c r="A18" s="81">
        <v>4</v>
      </c>
      <c r="B18" s="82" t="s">
        <v>85</v>
      </c>
      <c r="C18" s="90" t="s">
        <v>20</v>
      </c>
      <c r="D18" s="83" t="s">
        <v>214</v>
      </c>
      <c r="E18" s="84" t="s">
        <v>215</v>
      </c>
      <c r="F18" s="92">
        <v>100000000</v>
      </c>
      <c r="G18" s="93" t="s">
        <v>179</v>
      </c>
      <c r="H18" s="12"/>
      <c r="I18" s="10"/>
      <c r="J18" s="10"/>
      <c r="K18" s="10"/>
    </row>
    <row r="19" spans="1:12" ht="57" customHeight="1">
      <c r="A19" s="81">
        <v>5</v>
      </c>
      <c r="B19" s="86" t="s">
        <v>107</v>
      </c>
      <c r="C19" s="86" t="s">
        <v>20</v>
      </c>
      <c r="D19" s="87" t="s">
        <v>198</v>
      </c>
      <c r="E19" s="88" t="s">
        <v>199</v>
      </c>
      <c r="F19" s="89">
        <v>52755257</v>
      </c>
      <c r="G19" s="88" t="s">
        <v>8</v>
      </c>
      <c r="H19" s="56"/>
      <c r="I19" s="10"/>
      <c r="J19" s="10"/>
      <c r="K19" s="10"/>
    </row>
    <row r="20" spans="1:12" ht="57" customHeight="1">
      <c r="A20" s="81">
        <v>6</v>
      </c>
      <c r="B20" s="82" t="s">
        <v>107</v>
      </c>
      <c r="C20" s="82" t="s">
        <v>20</v>
      </c>
      <c r="D20" s="83" t="s">
        <v>210</v>
      </c>
      <c r="E20" s="84" t="s">
        <v>211</v>
      </c>
      <c r="F20" s="85">
        <v>20000000</v>
      </c>
      <c r="G20" s="84" t="s">
        <v>8</v>
      </c>
      <c r="H20" s="56"/>
      <c r="I20" s="10"/>
      <c r="J20" s="10"/>
      <c r="K20" s="10"/>
    </row>
    <row r="21" spans="1:12" s="32" customFormat="1" ht="57" customHeight="1">
      <c r="A21" s="81">
        <v>7</v>
      </c>
      <c r="B21" s="82" t="s">
        <v>85</v>
      </c>
      <c r="C21" s="82" t="s">
        <v>20</v>
      </c>
      <c r="D21" s="91" t="s">
        <v>200</v>
      </c>
      <c r="E21" s="84" t="s">
        <v>204</v>
      </c>
      <c r="F21" s="92">
        <v>63000000</v>
      </c>
      <c r="G21" s="93" t="s">
        <v>5</v>
      </c>
      <c r="H21" s="12"/>
      <c r="I21" s="10"/>
      <c r="J21" s="10"/>
      <c r="K21" s="29"/>
      <c r="L21" s="31"/>
    </row>
    <row r="22" spans="1:12" s="32" customFormat="1" ht="57" customHeight="1">
      <c r="A22" s="81">
        <v>8</v>
      </c>
      <c r="B22" s="82" t="s">
        <v>85</v>
      </c>
      <c r="C22" s="82" t="s">
        <v>20</v>
      </c>
      <c r="D22" s="91" t="s">
        <v>216</v>
      </c>
      <c r="E22" s="84" t="s">
        <v>217</v>
      </c>
      <c r="F22" s="92">
        <v>100000000</v>
      </c>
      <c r="G22" s="93" t="s">
        <v>5</v>
      </c>
      <c r="H22" s="12"/>
      <c r="I22" s="10"/>
      <c r="J22" s="10"/>
      <c r="K22" s="29"/>
      <c r="L22" s="31"/>
    </row>
    <row r="23" spans="1:12" s="32" customFormat="1" ht="57" customHeight="1">
      <c r="A23" s="81"/>
      <c r="B23" s="82"/>
      <c r="C23" s="90"/>
      <c r="D23" s="83"/>
      <c r="E23" s="84"/>
      <c r="F23" s="92"/>
      <c r="G23" s="93"/>
      <c r="H23" s="12"/>
      <c r="I23" s="10"/>
      <c r="J23" s="10"/>
      <c r="K23" s="29"/>
      <c r="L23" s="31"/>
    </row>
    <row r="24" spans="1:12" s="32" customFormat="1" ht="57" customHeight="1">
      <c r="A24" s="81"/>
      <c r="B24" s="82"/>
      <c r="C24" s="90"/>
      <c r="D24" s="83"/>
      <c r="E24" s="84"/>
      <c r="F24" s="92"/>
      <c r="G24" s="93"/>
      <c r="H24" s="12"/>
      <c r="I24" s="10"/>
      <c r="J24" s="10"/>
      <c r="K24" s="29"/>
      <c r="L24" s="31"/>
    </row>
    <row r="25" spans="1:12" s="32" customFormat="1" ht="57" customHeight="1">
      <c r="A25" s="81"/>
      <c r="B25" s="82"/>
      <c r="C25" s="90"/>
      <c r="D25" s="91"/>
      <c r="E25" s="84"/>
      <c r="F25" s="92"/>
      <c r="G25" s="93"/>
      <c r="H25" s="12"/>
      <c r="I25" s="10"/>
      <c r="J25" s="10"/>
      <c r="K25" s="29"/>
      <c r="L25" s="31"/>
    </row>
    <row r="26" spans="1:12" s="32" customFormat="1" ht="57" customHeight="1">
      <c r="A26" s="55"/>
      <c r="B26" s="63"/>
      <c r="C26" s="8"/>
      <c r="D26" s="9"/>
      <c r="E26" s="51"/>
      <c r="F26" s="71"/>
      <c r="G26" s="12"/>
      <c r="H26" s="12"/>
      <c r="I26" s="10"/>
      <c r="J26" s="10"/>
      <c r="K26" s="29"/>
      <c r="L26" s="31"/>
    </row>
    <row r="27" spans="1:12" s="32" customFormat="1" ht="57" customHeight="1">
      <c r="A27" s="55"/>
      <c r="B27" s="30"/>
      <c r="C27" s="8"/>
      <c r="D27" s="9"/>
      <c r="E27" s="52"/>
      <c r="F27" s="11"/>
      <c r="G27" s="12"/>
      <c r="H27" s="12"/>
      <c r="I27" s="10"/>
      <c r="J27" s="10"/>
      <c r="K27" s="29"/>
      <c r="L27" s="31"/>
    </row>
    <row r="28" spans="1:12" s="32" customFormat="1" ht="24" customHeight="1">
      <c r="A28" s="30"/>
      <c r="B28" s="30"/>
      <c r="C28" s="8"/>
      <c r="D28" s="9"/>
      <c r="E28" s="52"/>
      <c r="F28" s="11"/>
      <c r="G28" s="12"/>
      <c r="H28" s="12"/>
      <c r="I28" s="10"/>
      <c r="J28" s="10"/>
      <c r="K28" s="29"/>
      <c r="L28" s="31"/>
    </row>
    <row r="29" spans="1:12" s="32" customFormat="1" ht="24" customHeight="1">
      <c r="A29" s="30"/>
      <c r="B29" s="30"/>
      <c r="C29" s="8"/>
      <c r="D29" s="9"/>
      <c r="E29" s="53"/>
      <c r="F29" s="11"/>
      <c r="G29" s="12"/>
      <c r="H29" s="12"/>
      <c r="I29" s="10"/>
      <c r="J29" s="10"/>
      <c r="K29" s="29"/>
      <c r="L29" s="31"/>
    </row>
  </sheetData>
  <autoFilter ref="A14:M21" xr:uid="{C155F3F1-DB5D-4AC8-BEB0-4347C3A784A1}"/>
  <mergeCells count="1">
    <mergeCell ref="A12:E12"/>
  </mergeCells>
  <dataValidations disablePrompts="1" count="2">
    <dataValidation type="list" allowBlank="1" showInputMessage="1" showErrorMessage="1" sqref="G27:G58" xr:uid="{A529B1E5-B24F-4968-B0F0-5D91CA9B52F9}">
      <formula1>$B$2:$B$11</formula1>
    </dataValidation>
    <dataValidation type="list" allowBlank="1" showInputMessage="1" showErrorMessage="1" sqref="C17:C18 C23:C29" xr:uid="{1F8EF593-07BA-4D7E-BC03-264265D12456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98D0-BFFB-4EC6-A045-1DEE3225CA6C}">
  <sheetPr>
    <pageSetUpPr fitToPage="1"/>
  </sheetPr>
  <dimension ref="A1:L30"/>
  <sheetViews>
    <sheetView topLeftCell="A21" zoomScale="70" zoomScaleNormal="70" workbookViewId="0">
      <selection activeCell="E24" sqref="E24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61.85546875" style="36" bestFit="1" customWidth="1"/>
    <col min="5" max="5" width="60.42578125" style="54" customWidth="1"/>
    <col min="6" max="6" width="23.42578125" style="37" customWidth="1"/>
    <col min="7" max="7" width="32.57031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2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2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2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2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2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2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2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2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2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2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2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2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2" s="21" customFormat="1" ht="15">
      <c r="A13" s="26"/>
      <c r="B13" s="26"/>
      <c r="C13" s="27"/>
      <c r="D13" s="28"/>
      <c r="E13" s="49"/>
      <c r="F13" s="20"/>
      <c r="L13" s="19"/>
    </row>
    <row r="14" spans="1:12" s="4" customFormat="1" ht="42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2" ht="57" customHeight="1">
      <c r="A15" s="81">
        <v>1</v>
      </c>
      <c r="B15" s="86" t="s">
        <v>85</v>
      </c>
      <c r="C15" s="86" t="s">
        <v>20</v>
      </c>
      <c r="D15" s="87" t="s">
        <v>193</v>
      </c>
      <c r="E15" s="88" t="s">
        <v>194</v>
      </c>
      <c r="F15" s="89">
        <v>801318177</v>
      </c>
      <c r="G15" s="84" t="s">
        <v>179</v>
      </c>
      <c r="H15" s="56"/>
      <c r="I15" s="10"/>
      <c r="J15" s="10"/>
      <c r="K15" s="10"/>
    </row>
    <row r="16" spans="1:12" ht="57" customHeight="1">
      <c r="A16" s="81">
        <v>2</v>
      </c>
      <c r="B16" s="86" t="s">
        <v>85</v>
      </c>
      <c r="C16" s="86" t="s">
        <v>20</v>
      </c>
      <c r="D16" s="87" t="s">
        <v>193</v>
      </c>
      <c r="E16" s="88" t="s">
        <v>195</v>
      </c>
      <c r="F16" s="89">
        <v>105000000</v>
      </c>
      <c r="G16" s="84" t="s">
        <v>179</v>
      </c>
      <c r="H16" s="56"/>
      <c r="I16" s="10"/>
      <c r="J16" s="10"/>
      <c r="K16" s="10"/>
    </row>
    <row r="17" spans="1:12" ht="57" customHeight="1">
      <c r="A17" s="81">
        <v>3</v>
      </c>
      <c r="B17" s="86" t="s">
        <v>196</v>
      </c>
      <c r="C17" s="86" t="s">
        <v>20</v>
      </c>
      <c r="D17" s="87" t="s">
        <v>149</v>
      </c>
      <c r="E17" s="88" t="s">
        <v>197</v>
      </c>
      <c r="F17" s="89">
        <v>295912140</v>
      </c>
      <c r="G17" s="88" t="s">
        <v>3</v>
      </c>
      <c r="H17" s="56"/>
      <c r="I17" s="10"/>
      <c r="J17" s="10"/>
      <c r="K17" s="10"/>
    </row>
    <row r="18" spans="1:12" ht="57" customHeight="1">
      <c r="A18" s="81">
        <v>4</v>
      </c>
      <c r="B18" s="82" t="s">
        <v>107</v>
      </c>
      <c r="C18" s="82" t="s">
        <v>20</v>
      </c>
      <c r="D18" s="83" t="s">
        <v>57</v>
      </c>
      <c r="E18" s="84" t="s">
        <v>168</v>
      </c>
      <c r="F18" s="85">
        <f>1790960249-500000000</f>
        <v>1290960249</v>
      </c>
      <c r="G18" s="84" t="s">
        <v>8</v>
      </c>
      <c r="H18" s="56"/>
      <c r="I18" s="10"/>
      <c r="J18" s="10"/>
      <c r="K18" s="10"/>
    </row>
    <row r="19" spans="1:12" s="13" customFormat="1" ht="57" customHeight="1">
      <c r="A19" s="81">
        <v>5</v>
      </c>
      <c r="B19" s="82" t="s">
        <v>107</v>
      </c>
      <c r="C19" s="90" t="s">
        <v>20</v>
      </c>
      <c r="D19" s="91" t="s">
        <v>58</v>
      </c>
      <c r="E19" s="84" t="s">
        <v>166</v>
      </c>
      <c r="F19" s="92">
        <v>830034977</v>
      </c>
      <c r="G19" s="93" t="s">
        <v>8</v>
      </c>
      <c r="H19" s="12"/>
      <c r="I19" s="10"/>
      <c r="J19" s="10"/>
      <c r="K19" s="10"/>
    </row>
    <row r="20" spans="1:12" s="13" customFormat="1" ht="57" customHeight="1">
      <c r="A20" s="81">
        <v>6</v>
      </c>
      <c r="B20" s="82" t="s">
        <v>107</v>
      </c>
      <c r="C20" s="90" t="s">
        <v>92</v>
      </c>
      <c r="D20" s="91" t="s">
        <v>164</v>
      </c>
      <c r="E20" s="84" t="s">
        <v>174</v>
      </c>
      <c r="F20" s="92">
        <v>5241717572</v>
      </c>
      <c r="G20" s="93" t="s">
        <v>8</v>
      </c>
      <c r="H20" s="12"/>
      <c r="I20" s="10"/>
      <c r="J20" s="10"/>
      <c r="K20" s="10"/>
    </row>
    <row r="21" spans="1:12" s="13" customFormat="1" ht="57" customHeight="1">
      <c r="A21" s="81">
        <v>7</v>
      </c>
      <c r="B21" s="82" t="s">
        <v>107</v>
      </c>
      <c r="C21" s="90" t="s">
        <v>20</v>
      </c>
      <c r="D21" s="83" t="s">
        <v>180</v>
      </c>
      <c r="E21" s="84" t="s">
        <v>181</v>
      </c>
      <c r="F21" s="92">
        <v>538259975</v>
      </c>
      <c r="G21" s="93" t="s">
        <v>8</v>
      </c>
      <c r="H21" s="12"/>
      <c r="I21" s="10"/>
      <c r="J21" s="10"/>
      <c r="K21" s="10"/>
    </row>
    <row r="22" spans="1:12" s="32" customFormat="1" ht="57" customHeight="1">
      <c r="A22" s="81">
        <v>8</v>
      </c>
      <c r="B22" s="82" t="s">
        <v>107</v>
      </c>
      <c r="C22" s="90" t="s">
        <v>20</v>
      </c>
      <c r="D22" s="91" t="s">
        <v>58</v>
      </c>
      <c r="E22" s="84" t="s">
        <v>175</v>
      </c>
      <c r="F22" s="92">
        <v>1003854848</v>
      </c>
      <c r="G22" s="93" t="s">
        <v>8</v>
      </c>
      <c r="H22" s="12"/>
      <c r="I22" s="10"/>
      <c r="J22" s="10"/>
      <c r="K22" s="29"/>
      <c r="L22" s="31"/>
    </row>
    <row r="23" spans="1:12" s="32" customFormat="1" ht="57" customHeight="1">
      <c r="A23" s="81">
        <v>9</v>
      </c>
      <c r="B23" s="82" t="s">
        <v>107</v>
      </c>
      <c r="C23" s="90" t="s">
        <v>20</v>
      </c>
      <c r="D23" s="91" t="s">
        <v>198</v>
      </c>
      <c r="E23" s="84" t="s">
        <v>199</v>
      </c>
      <c r="F23" s="92">
        <v>88885613</v>
      </c>
      <c r="G23" s="93" t="s">
        <v>8</v>
      </c>
      <c r="H23" s="12"/>
      <c r="I23" s="10"/>
      <c r="J23" s="10"/>
      <c r="K23" s="29"/>
      <c r="L23" s="31"/>
    </row>
    <row r="24" spans="1:12" s="32" customFormat="1" ht="57" customHeight="1">
      <c r="A24" s="81">
        <v>10</v>
      </c>
      <c r="B24" s="82" t="s">
        <v>85</v>
      </c>
      <c r="C24" s="90" t="s">
        <v>20</v>
      </c>
      <c r="D24" s="83" t="s">
        <v>200</v>
      </c>
      <c r="E24" s="84" t="s">
        <v>204</v>
      </c>
      <c r="F24" s="92">
        <v>63000000</v>
      </c>
      <c r="G24" s="93" t="s">
        <v>5</v>
      </c>
      <c r="H24" s="12"/>
      <c r="I24" s="10"/>
      <c r="J24" s="10"/>
      <c r="K24" s="29"/>
      <c r="L24" s="31"/>
    </row>
    <row r="25" spans="1:12" s="32" customFormat="1" ht="57" customHeight="1">
      <c r="A25" s="81">
        <v>11</v>
      </c>
      <c r="B25" s="82" t="s">
        <v>85</v>
      </c>
      <c r="C25" s="90" t="s">
        <v>20</v>
      </c>
      <c r="D25" s="83" t="s">
        <v>200</v>
      </c>
      <c r="E25" s="84" t="s">
        <v>201</v>
      </c>
      <c r="F25" s="92">
        <v>89000000</v>
      </c>
      <c r="G25" s="93" t="s">
        <v>40</v>
      </c>
      <c r="H25" s="12"/>
      <c r="I25" s="10"/>
      <c r="J25" s="10"/>
      <c r="K25" s="29"/>
      <c r="L25" s="31"/>
    </row>
    <row r="26" spans="1:12" s="32" customFormat="1" ht="57" customHeight="1">
      <c r="A26" s="81">
        <v>12</v>
      </c>
      <c r="B26" s="82" t="s">
        <v>85</v>
      </c>
      <c r="C26" s="90" t="s">
        <v>20</v>
      </c>
      <c r="D26" s="91" t="s">
        <v>202</v>
      </c>
      <c r="E26" s="84" t="s">
        <v>203</v>
      </c>
      <c r="F26" s="92">
        <v>20550000</v>
      </c>
      <c r="G26" s="93" t="s">
        <v>40</v>
      </c>
      <c r="H26" s="12"/>
      <c r="I26" s="10"/>
      <c r="J26" s="10"/>
      <c r="K26" s="29"/>
      <c r="L26" s="31"/>
    </row>
    <row r="27" spans="1:12" s="32" customFormat="1" ht="57" customHeight="1">
      <c r="A27" s="55"/>
      <c r="B27" s="63"/>
      <c r="C27" s="8"/>
      <c r="D27" s="9"/>
      <c r="E27" s="51"/>
      <c r="F27" s="71"/>
      <c r="G27" s="12"/>
      <c r="H27" s="12"/>
      <c r="I27" s="10"/>
      <c r="J27" s="10"/>
      <c r="K27" s="29"/>
      <c r="L27" s="31"/>
    </row>
    <row r="28" spans="1:12" s="32" customFormat="1" ht="57" customHeight="1">
      <c r="A28" s="55"/>
      <c r="B28" s="30"/>
      <c r="C28" s="8"/>
      <c r="D28" s="9"/>
      <c r="E28" s="52"/>
      <c r="F28" s="11"/>
      <c r="G28" s="12"/>
      <c r="H28" s="12"/>
      <c r="I28" s="10"/>
      <c r="J28" s="10"/>
      <c r="K28" s="29"/>
      <c r="L28" s="31"/>
    </row>
    <row r="29" spans="1:12" s="32" customFormat="1" ht="24" customHeight="1">
      <c r="A29" s="30"/>
      <c r="B29" s="30"/>
      <c r="C29" s="8"/>
      <c r="D29" s="9"/>
      <c r="E29" s="52"/>
      <c r="F29" s="11"/>
      <c r="G29" s="12"/>
      <c r="H29" s="12"/>
      <c r="I29" s="10"/>
      <c r="J29" s="10"/>
      <c r="K29" s="29"/>
      <c r="L29" s="31"/>
    </row>
    <row r="30" spans="1:12" s="32" customFormat="1" ht="24" customHeight="1">
      <c r="A30" s="30"/>
      <c r="B30" s="30"/>
      <c r="C30" s="8"/>
      <c r="D30" s="9"/>
      <c r="E30" s="53"/>
      <c r="F30" s="11"/>
      <c r="G30" s="12"/>
      <c r="H30" s="12"/>
      <c r="I30" s="10"/>
      <c r="J30" s="10"/>
      <c r="K30" s="29"/>
      <c r="L30" s="31"/>
    </row>
  </sheetData>
  <autoFilter ref="A14:M22" xr:uid="{C155F3F1-DB5D-4AC8-BEB0-4347C3A784A1}"/>
  <mergeCells count="1">
    <mergeCell ref="A12:E12"/>
  </mergeCells>
  <dataValidations count="2">
    <dataValidation type="list" allowBlank="1" showInputMessage="1" showErrorMessage="1" sqref="G28:G59" xr:uid="{DAB6B80C-8E86-4D13-A56E-4C133EB10308}">
      <formula1>$B$2:$B$11</formula1>
    </dataValidation>
    <dataValidation type="list" allowBlank="1" showInputMessage="1" showErrorMessage="1" sqref="C19:C30" xr:uid="{551BCF7F-BBE3-4D56-9895-E8B1076BBBC2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8E6C-DEE8-4D3A-A1E2-AFF94BBDF988}">
  <sheetPr>
    <pageSetUpPr fitToPage="1"/>
  </sheetPr>
  <dimension ref="A1:M31"/>
  <sheetViews>
    <sheetView topLeftCell="A21" zoomScale="55" zoomScaleNormal="55" workbookViewId="0">
      <selection activeCell="D35" sqref="D35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61.85546875" style="36" bestFit="1" customWidth="1"/>
    <col min="5" max="5" width="60.42578125" style="54" customWidth="1"/>
    <col min="6" max="6" width="23.42578125" style="37" customWidth="1"/>
    <col min="7" max="7" width="32.57031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3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3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3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3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3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3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3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3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3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3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3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3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3" s="21" customFormat="1" ht="15">
      <c r="A13" s="26"/>
      <c r="B13" s="26"/>
      <c r="C13" s="27"/>
      <c r="D13" s="28"/>
      <c r="E13" s="49"/>
      <c r="F13" s="20"/>
      <c r="L13" s="19"/>
    </row>
    <row r="14" spans="1:13" s="4" customFormat="1" ht="42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3" ht="57" customHeight="1">
      <c r="A15" s="55">
        <v>1</v>
      </c>
      <c r="B15" s="63" t="s">
        <v>104</v>
      </c>
      <c r="C15" s="63" t="s">
        <v>92</v>
      </c>
      <c r="D15" s="64" t="s">
        <v>171</v>
      </c>
      <c r="E15" s="51" t="s">
        <v>172</v>
      </c>
      <c r="F15" s="65">
        <v>61729420000</v>
      </c>
      <c r="G15" s="51" t="s">
        <v>179</v>
      </c>
      <c r="H15" s="56" t="s">
        <v>5</v>
      </c>
      <c r="I15" s="10" t="s">
        <v>21</v>
      </c>
      <c r="J15" s="10">
        <v>12</v>
      </c>
      <c r="K15" s="10"/>
      <c r="M15" s="14" t="s">
        <v>24</v>
      </c>
    </row>
    <row r="16" spans="1:13" ht="57" customHeight="1">
      <c r="A16" s="55">
        <v>2</v>
      </c>
      <c r="B16" s="77" t="s">
        <v>182</v>
      </c>
      <c r="C16" s="77" t="s">
        <v>20</v>
      </c>
      <c r="D16" s="78" t="s">
        <v>182</v>
      </c>
      <c r="E16" s="79" t="s">
        <v>184</v>
      </c>
      <c r="F16" s="80">
        <v>100000000</v>
      </c>
      <c r="G16" s="79" t="s">
        <v>5</v>
      </c>
      <c r="H16" s="56"/>
      <c r="I16" s="10"/>
      <c r="J16" s="10"/>
      <c r="K16" s="10"/>
    </row>
    <row r="17" spans="1:12" ht="57" customHeight="1">
      <c r="A17" s="55">
        <v>3</v>
      </c>
      <c r="B17" s="77" t="s">
        <v>104</v>
      </c>
      <c r="C17" s="77" t="s">
        <v>20</v>
      </c>
      <c r="D17" s="78" t="s">
        <v>183</v>
      </c>
      <c r="E17" s="79" t="s">
        <v>187</v>
      </c>
      <c r="F17" s="80">
        <v>500000000</v>
      </c>
      <c r="G17" s="79" t="s">
        <v>5</v>
      </c>
      <c r="H17" s="56"/>
      <c r="I17" s="10"/>
      <c r="J17" s="10"/>
      <c r="K17" s="10"/>
    </row>
    <row r="18" spans="1:12" ht="57" customHeight="1">
      <c r="A18" s="55">
        <v>4</v>
      </c>
      <c r="B18" s="77" t="s">
        <v>104</v>
      </c>
      <c r="C18" s="77" t="s">
        <v>20</v>
      </c>
      <c r="D18" s="78" t="s">
        <v>186</v>
      </c>
      <c r="E18" s="79" t="s">
        <v>185</v>
      </c>
      <c r="F18" s="80">
        <v>250000000</v>
      </c>
      <c r="G18" s="79" t="s">
        <v>5</v>
      </c>
      <c r="H18" s="56"/>
      <c r="I18" s="10"/>
      <c r="J18" s="10"/>
      <c r="K18" s="10"/>
    </row>
    <row r="19" spans="1:12" ht="57" customHeight="1">
      <c r="A19" s="55">
        <v>5</v>
      </c>
      <c r="B19" s="63" t="s">
        <v>104</v>
      </c>
      <c r="C19" s="63" t="s">
        <v>20</v>
      </c>
      <c r="D19" s="64" t="s">
        <v>161</v>
      </c>
      <c r="E19" s="51" t="s">
        <v>173</v>
      </c>
      <c r="F19" s="65">
        <v>6261412000</v>
      </c>
      <c r="G19" s="51" t="s">
        <v>40</v>
      </c>
      <c r="H19" s="56"/>
      <c r="I19" s="10"/>
      <c r="J19" s="10"/>
      <c r="K19" s="10"/>
    </row>
    <row r="20" spans="1:12" s="13" customFormat="1" ht="57" customHeight="1">
      <c r="A20" s="55">
        <v>6</v>
      </c>
      <c r="B20" s="63" t="s">
        <v>107</v>
      </c>
      <c r="C20" s="8" t="s">
        <v>20</v>
      </c>
      <c r="D20" s="9" t="s">
        <v>57</v>
      </c>
      <c r="E20" s="51" t="s">
        <v>168</v>
      </c>
      <c r="F20" s="71">
        <v>2290960249</v>
      </c>
      <c r="G20" s="12" t="s">
        <v>8</v>
      </c>
      <c r="H20" s="12"/>
      <c r="I20" s="10"/>
      <c r="J20" s="10"/>
      <c r="K20" s="10"/>
    </row>
    <row r="21" spans="1:12" s="13" customFormat="1" ht="57" customHeight="1">
      <c r="A21" s="55">
        <v>7</v>
      </c>
      <c r="B21" s="63" t="s">
        <v>107</v>
      </c>
      <c r="C21" s="8" t="s">
        <v>20</v>
      </c>
      <c r="D21" s="9" t="s">
        <v>58</v>
      </c>
      <c r="E21" s="51" t="s">
        <v>166</v>
      </c>
      <c r="F21" s="71">
        <v>830034977</v>
      </c>
      <c r="G21" s="12" t="s">
        <v>8</v>
      </c>
      <c r="H21" s="12"/>
      <c r="I21" s="10"/>
      <c r="J21" s="10"/>
      <c r="K21" s="10"/>
    </row>
    <row r="22" spans="1:12" s="13" customFormat="1" ht="57" customHeight="1">
      <c r="A22" s="55">
        <v>8</v>
      </c>
      <c r="B22" s="63" t="s">
        <v>107</v>
      </c>
      <c r="C22" s="8" t="s">
        <v>92</v>
      </c>
      <c r="D22" s="64" t="s">
        <v>93</v>
      </c>
      <c r="E22" s="51" t="s">
        <v>174</v>
      </c>
      <c r="F22" s="71">
        <v>5241717572</v>
      </c>
      <c r="G22" s="12" t="s">
        <v>8</v>
      </c>
      <c r="H22" s="12"/>
      <c r="I22" s="10"/>
      <c r="J22" s="10"/>
      <c r="K22" s="10"/>
    </row>
    <row r="23" spans="1:12" s="32" customFormat="1" ht="57" customHeight="1">
      <c r="A23" s="55">
        <v>9</v>
      </c>
      <c r="B23" s="63" t="s">
        <v>107</v>
      </c>
      <c r="C23" s="8" t="s">
        <v>20</v>
      </c>
      <c r="D23" s="9" t="s">
        <v>180</v>
      </c>
      <c r="E23" s="51" t="s">
        <v>181</v>
      </c>
      <c r="F23" s="71">
        <v>538259975</v>
      </c>
      <c r="G23" s="12" t="s">
        <v>8</v>
      </c>
      <c r="H23" s="12"/>
      <c r="I23" s="10"/>
      <c r="J23" s="10"/>
      <c r="K23" s="29"/>
      <c r="L23" s="31"/>
    </row>
    <row r="24" spans="1:12" s="32" customFormat="1" ht="57" customHeight="1">
      <c r="A24" s="55">
        <v>10</v>
      </c>
      <c r="B24" s="63" t="s">
        <v>107</v>
      </c>
      <c r="C24" s="8" t="s">
        <v>20</v>
      </c>
      <c r="D24" s="9" t="s">
        <v>58</v>
      </c>
      <c r="E24" s="51" t="s">
        <v>175</v>
      </c>
      <c r="F24" s="71">
        <v>1003854848</v>
      </c>
      <c r="G24" s="12" t="s">
        <v>8</v>
      </c>
      <c r="H24" s="12"/>
      <c r="I24" s="10"/>
      <c r="J24" s="10"/>
      <c r="K24" s="29"/>
      <c r="L24" s="31"/>
    </row>
    <row r="25" spans="1:12" s="32" customFormat="1" ht="57" customHeight="1">
      <c r="A25" s="55">
        <v>11</v>
      </c>
      <c r="B25" s="63" t="s">
        <v>176</v>
      </c>
      <c r="C25" s="8" t="s">
        <v>20</v>
      </c>
      <c r="D25" s="64" t="s">
        <v>149</v>
      </c>
      <c r="E25" s="51" t="s">
        <v>177</v>
      </c>
      <c r="F25" s="71">
        <v>2402039802</v>
      </c>
      <c r="G25" s="12" t="s">
        <v>3</v>
      </c>
      <c r="H25" s="12"/>
      <c r="I25" s="10"/>
      <c r="J25" s="10"/>
      <c r="K25" s="29"/>
      <c r="L25" s="31"/>
    </row>
    <row r="26" spans="1:12" s="32" customFormat="1" ht="57" customHeight="1">
      <c r="A26" s="55">
        <v>12</v>
      </c>
      <c r="B26" s="63" t="s">
        <v>176</v>
      </c>
      <c r="C26" s="8" t="s">
        <v>20</v>
      </c>
      <c r="D26" s="64" t="s">
        <v>178</v>
      </c>
      <c r="E26" s="51" t="s">
        <v>177</v>
      </c>
      <c r="F26" s="71">
        <v>2599314562</v>
      </c>
      <c r="G26" s="12" t="s">
        <v>3</v>
      </c>
      <c r="H26" s="12"/>
      <c r="I26" s="10"/>
      <c r="J26" s="10"/>
      <c r="K26" s="29"/>
      <c r="L26" s="31"/>
    </row>
    <row r="27" spans="1:12" s="32" customFormat="1" ht="57" customHeight="1">
      <c r="A27" s="55">
        <v>13</v>
      </c>
      <c r="B27" s="63" t="s">
        <v>104</v>
      </c>
      <c r="C27" s="8" t="s">
        <v>20</v>
      </c>
      <c r="D27" s="9" t="s">
        <v>188</v>
      </c>
      <c r="E27" s="51" t="s">
        <v>189</v>
      </c>
      <c r="F27" s="71">
        <v>500000000</v>
      </c>
      <c r="G27" s="12" t="s">
        <v>179</v>
      </c>
      <c r="H27" s="12"/>
      <c r="I27" s="10"/>
      <c r="J27" s="10"/>
      <c r="K27" s="29"/>
      <c r="L27" s="31"/>
    </row>
    <row r="28" spans="1:12" s="32" customFormat="1" ht="57" customHeight="1">
      <c r="A28" s="55">
        <v>14</v>
      </c>
      <c r="B28" s="63" t="s">
        <v>190</v>
      </c>
      <c r="C28" s="8" t="s">
        <v>20</v>
      </c>
      <c r="D28" s="9" t="s">
        <v>191</v>
      </c>
      <c r="E28" s="51" t="s">
        <v>192</v>
      </c>
      <c r="F28" s="71">
        <v>20000000</v>
      </c>
      <c r="G28" s="12" t="s">
        <v>179</v>
      </c>
      <c r="H28" s="12"/>
      <c r="I28" s="10"/>
      <c r="J28" s="10"/>
      <c r="K28" s="29"/>
      <c r="L28" s="31"/>
    </row>
    <row r="29" spans="1:12" s="32" customFormat="1" ht="57" customHeight="1">
      <c r="A29" s="55">
        <v>15</v>
      </c>
      <c r="B29" s="30" t="s">
        <v>104</v>
      </c>
      <c r="C29" s="8" t="s">
        <v>20</v>
      </c>
      <c r="D29" s="9" t="s">
        <v>169</v>
      </c>
      <c r="E29" s="52" t="s">
        <v>170</v>
      </c>
      <c r="F29" s="11">
        <v>2000000000</v>
      </c>
      <c r="G29" s="12" t="s">
        <v>156</v>
      </c>
      <c r="H29" s="12"/>
      <c r="I29" s="10"/>
      <c r="J29" s="10"/>
      <c r="K29" s="29"/>
      <c r="L29" s="31"/>
    </row>
    <row r="30" spans="1:12" s="32" customFormat="1" ht="24" customHeight="1">
      <c r="A30" s="30"/>
      <c r="B30" s="30"/>
      <c r="C30" s="8"/>
      <c r="D30" s="9"/>
      <c r="E30" s="52"/>
      <c r="F30" s="11"/>
      <c r="G30" s="12"/>
      <c r="H30" s="12"/>
      <c r="I30" s="10"/>
      <c r="J30" s="10"/>
      <c r="K30" s="29"/>
      <c r="L30" s="31"/>
    </row>
    <row r="31" spans="1:12" s="32" customFormat="1" ht="24" customHeight="1">
      <c r="A31" s="30"/>
      <c r="B31" s="30"/>
      <c r="C31" s="8"/>
      <c r="D31" s="9"/>
      <c r="E31" s="53"/>
      <c r="F31" s="11"/>
      <c r="G31" s="12"/>
      <c r="H31" s="12"/>
      <c r="I31" s="10"/>
      <c r="J31" s="10"/>
      <c r="K31" s="29"/>
      <c r="L31" s="31"/>
    </row>
  </sheetData>
  <autoFilter ref="A14:M23" xr:uid="{C155F3F1-DB5D-4AC8-BEB0-4347C3A784A1}"/>
  <mergeCells count="1">
    <mergeCell ref="A12:E12"/>
  </mergeCells>
  <dataValidations count="2">
    <dataValidation type="list" allowBlank="1" showInputMessage="1" showErrorMessage="1" sqref="C20:C31" xr:uid="{3D00688C-FBE5-45A9-816D-03609037F81A}">
      <formula1>$M$15:$M$15</formula1>
    </dataValidation>
    <dataValidation type="list" allowBlank="1" showInputMessage="1" showErrorMessage="1" sqref="G29:G60" xr:uid="{04D6DDB7-6073-4465-9F6E-94FAAB277579}">
      <formula1>$B$2:$B$11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B556-83C5-4A18-9F83-36B1C806A50A}">
  <sheetPr>
    <pageSetUpPr fitToPage="1"/>
  </sheetPr>
  <dimension ref="A1:M31"/>
  <sheetViews>
    <sheetView topLeftCell="A12" zoomScale="55" zoomScaleNormal="55" workbookViewId="0">
      <selection activeCell="E18" sqref="E18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61.85546875" style="36" bestFit="1" customWidth="1"/>
    <col min="5" max="5" width="60.42578125" style="54" customWidth="1"/>
    <col min="6" max="6" width="23.42578125" style="37" customWidth="1"/>
    <col min="7" max="7" width="26.1406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3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3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3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3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3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3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3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3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3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3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3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3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3" s="21" customFormat="1" ht="15">
      <c r="A13" s="26"/>
      <c r="B13" s="26"/>
      <c r="C13" s="27"/>
      <c r="D13" s="28"/>
      <c r="E13" s="49"/>
      <c r="F13" s="20"/>
      <c r="L13" s="19"/>
    </row>
    <row r="14" spans="1:13" s="4" customFormat="1" ht="42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3" ht="57" customHeight="1">
      <c r="A15" s="55">
        <v>1</v>
      </c>
      <c r="B15" s="63" t="s">
        <v>104</v>
      </c>
      <c r="C15" s="63" t="s">
        <v>92</v>
      </c>
      <c r="D15" s="64" t="s">
        <v>171</v>
      </c>
      <c r="E15" s="51" t="s">
        <v>172</v>
      </c>
      <c r="F15" s="65">
        <v>61729420000</v>
      </c>
      <c r="G15" s="51" t="s">
        <v>179</v>
      </c>
      <c r="H15" s="56" t="s">
        <v>5</v>
      </c>
      <c r="I15" s="10" t="s">
        <v>21</v>
      </c>
      <c r="J15" s="10">
        <v>12</v>
      </c>
      <c r="K15" s="10"/>
      <c r="M15" s="14" t="s">
        <v>24</v>
      </c>
    </row>
    <row r="16" spans="1:13" ht="57" customHeight="1">
      <c r="A16" s="55">
        <v>2</v>
      </c>
      <c r="B16" s="73" t="s">
        <v>182</v>
      </c>
      <c r="C16" s="73" t="s">
        <v>20</v>
      </c>
      <c r="D16" s="74" t="s">
        <v>182</v>
      </c>
      <c r="E16" s="75" t="s">
        <v>184</v>
      </c>
      <c r="F16" s="76">
        <v>100000000</v>
      </c>
      <c r="G16" s="75" t="s">
        <v>5</v>
      </c>
      <c r="H16" s="56"/>
      <c r="I16" s="10"/>
      <c r="J16" s="10"/>
      <c r="K16" s="10"/>
    </row>
    <row r="17" spans="1:12" ht="57" customHeight="1">
      <c r="A17" s="55">
        <v>3</v>
      </c>
      <c r="B17" s="73" t="s">
        <v>104</v>
      </c>
      <c r="C17" s="73" t="s">
        <v>20</v>
      </c>
      <c r="D17" s="74" t="s">
        <v>183</v>
      </c>
      <c r="E17" s="75" t="s">
        <v>187</v>
      </c>
      <c r="F17" s="76">
        <v>500000000</v>
      </c>
      <c r="G17" s="75" t="s">
        <v>5</v>
      </c>
      <c r="H17" s="56"/>
      <c r="I17" s="10"/>
      <c r="J17" s="10"/>
      <c r="K17" s="10"/>
    </row>
    <row r="18" spans="1:12" ht="57" customHeight="1">
      <c r="A18" s="55">
        <v>4</v>
      </c>
      <c r="B18" s="73" t="s">
        <v>104</v>
      </c>
      <c r="C18" s="73" t="s">
        <v>20</v>
      </c>
      <c r="D18" s="74" t="s">
        <v>186</v>
      </c>
      <c r="E18" s="75" t="s">
        <v>185</v>
      </c>
      <c r="F18" s="76">
        <v>250000000</v>
      </c>
      <c r="G18" s="75" t="s">
        <v>5</v>
      </c>
      <c r="H18" s="56"/>
      <c r="I18" s="10"/>
      <c r="J18" s="10"/>
      <c r="K18" s="10"/>
    </row>
    <row r="19" spans="1:12" ht="57" customHeight="1">
      <c r="A19" s="55">
        <v>5</v>
      </c>
      <c r="B19" s="63" t="s">
        <v>104</v>
      </c>
      <c r="C19" s="63" t="s">
        <v>20</v>
      </c>
      <c r="D19" s="64" t="s">
        <v>161</v>
      </c>
      <c r="E19" s="51" t="s">
        <v>173</v>
      </c>
      <c r="F19" s="65">
        <v>6261412000</v>
      </c>
      <c r="G19" s="51" t="s">
        <v>40</v>
      </c>
      <c r="H19" s="56"/>
      <c r="I19" s="10"/>
      <c r="J19" s="10"/>
      <c r="K19" s="10"/>
    </row>
    <row r="20" spans="1:12" s="13" customFormat="1" ht="57" customHeight="1">
      <c r="A20" s="55">
        <v>6</v>
      </c>
      <c r="B20" s="63" t="s">
        <v>107</v>
      </c>
      <c r="C20" s="8" t="s">
        <v>20</v>
      </c>
      <c r="D20" s="9" t="s">
        <v>57</v>
      </c>
      <c r="E20" s="51" t="s">
        <v>168</v>
      </c>
      <c r="F20" s="71">
        <v>2290960249</v>
      </c>
      <c r="G20" s="12" t="s">
        <v>8</v>
      </c>
      <c r="H20" s="12"/>
      <c r="I20" s="10"/>
      <c r="J20" s="10"/>
      <c r="K20" s="10"/>
    </row>
    <row r="21" spans="1:12" s="13" customFormat="1" ht="57" customHeight="1">
      <c r="A21" s="55">
        <v>7</v>
      </c>
      <c r="B21" s="63" t="s">
        <v>107</v>
      </c>
      <c r="C21" s="8" t="s">
        <v>20</v>
      </c>
      <c r="D21" s="9" t="s">
        <v>58</v>
      </c>
      <c r="E21" s="51" t="s">
        <v>166</v>
      </c>
      <c r="F21" s="71">
        <v>830034977</v>
      </c>
      <c r="G21" s="12" t="s">
        <v>8</v>
      </c>
      <c r="H21" s="12"/>
      <c r="I21" s="10"/>
      <c r="J21" s="10"/>
      <c r="K21" s="10"/>
    </row>
    <row r="22" spans="1:12" s="13" customFormat="1" ht="57" customHeight="1">
      <c r="A22" s="55">
        <v>8</v>
      </c>
      <c r="B22" s="63" t="s">
        <v>107</v>
      </c>
      <c r="C22" s="8" t="s">
        <v>92</v>
      </c>
      <c r="D22" s="64" t="s">
        <v>93</v>
      </c>
      <c r="E22" s="51" t="s">
        <v>174</v>
      </c>
      <c r="F22" s="71">
        <v>5241717572</v>
      </c>
      <c r="G22" s="12" t="s">
        <v>8</v>
      </c>
      <c r="H22" s="12"/>
      <c r="I22" s="10"/>
      <c r="J22" s="10"/>
      <c r="K22" s="10"/>
    </row>
    <row r="23" spans="1:12" s="32" customFormat="1" ht="57" customHeight="1">
      <c r="A23" s="55">
        <v>9</v>
      </c>
      <c r="B23" s="63" t="s">
        <v>107</v>
      </c>
      <c r="C23" s="8" t="s">
        <v>20</v>
      </c>
      <c r="D23" s="9" t="s">
        <v>180</v>
      </c>
      <c r="E23" s="51" t="s">
        <v>181</v>
      </c>
      <c r="F23" s="71">
        <v>538259975</v>
      </c>
      <c r="G23" s="12" t="s">
        <v>8</v>
      </c>
      <c r="H23" s="12"/>
      <c r="I23" s="10"/>
      <c r="J23" s="10"/>
      <c r="K23" s="29"/>
      <c r="L23" s="31"/>
    </row>
    <row r="24" spans="1:12" s="32" customFormat="1" ht="57" customHeight="1">
      <c r="A24" s="55">
        <v>10</v>
      </c>
      <c r="B24" s="63" t="s">
        <v>107</v>
      </c>
      <c r="C24" s="8" t="s">
        <v>20</v>
      </c>
      <c r="D24" s="9" t="s">
        <v>58</v>
      </c>
      <c r="E24" s="51" t="s">
        <v>175</v>
      </c>
      <c r="F24" s="71">
        <v>1003854848</v>
      </c>
      <c r="G24" s="12" t="s">
        <v>8</v>
      </c>
      <c r="H24" s="12"/>
      <c r="I24" s="10"/>
      <c r="J24" s="10"/>
      <c r="K24" s="29"/>
      <c r="L24" s="31"/>
    </row>
    <row r="25" spans="1:12" s="32" customFormat="1" ht="57" customHeight="1">
      <c r="A25" s="55">
        <v>11</v>
      </c>
      <c r="B25" s="63" t="s">
        <v>176</v>
      </c>
      <c r="C25" s="8" t="s">
        <v>20</v>
      </c>
      <c r="D25" s="64" t="s">
        <v>149</v>
      </c>
      <c r="E25" s="51" t="s">
        <v>177</v>
      </c>
      <c r="F25" s="71">
        <v>2599314562</v>
      </c>
      <c r="G25" s="12" t="s">
        <v>3</v>
      </c>
      <c r="H25" s="12"/>
      <c r="I25" s="10"/>
      <c r="J25" s="10"/>
      <c r="K25" s="29"/>
      <c r="L25" s="31"/>
    </row>
    <row r="26" spans="1:12" s="32" customFormat="1" ht="57" customHeight="1">
      <c r="A26" s="55">
        <v>12</v>
      </c>
      <c r="B26" s="63" t="s">
        <v>176</v>
      </c>
      <c r="C26" s="8" t="s">
        <v>20</v>
      </c>
      <c r="D26" s="64" t="s">
        <v>178</v>
      </c>
      <c r="E26" s="51" t="s">
        <v>177</v>
      </c>
      <c r="F26" s="71">
        <v>2599314562</v>
      </c>
      <c r="G26" s="12" t="s">
        <v>3</v>
      </c>
      <c r="H26" s="12"/>
      <c r="I26" s="10"/>
      <c r="J26" s="10"/>
      <c r="K26" s="29"/>
      <c r="L26" s="31"/>
    </row>
    <row r="27" spans="1:12" s="32" customFormat="1" ht="57" customHeight="1">
      <c r="A27" s="55"/>
      <c r="B27" s="63"/>
      <c r="C27" s="8"/>
      <c r="D27" s="9"/>
      <c r="E27" s="51"/>
      <c r="F27" s="71"/>
      <c r="G27" s="12"/>
      <c r="H27" s="12"/>
      <c r="I27" s="10"/>
      <c r="J27" s="10"/>
      <c r="K27" s="29"/>
      <c r="L27" s="31"/>
    </row>
    <row r="28" spans="1:12" s="32" customFormat="1" ht="57" customHeight="1">
      <c r="A28" s="55"/>
      <c r="B28" s="63"/>
      <c r="C28" s="8"/>
      <c r="D28" s="9"/>
      <c r="E28" s="51"/>
      <c r="F28" s="71"/>
      <c r="G28" s="12"/>
      <c r="H28" s="12"/>
      <c r="I28" s="10"/>
      <c r="J28" s="10"/>
      <c r="K28" s="29"/>
      <c r="L28" s="31"/>
    </row>
    <row r="29" spans="1:12" s="32" customFormat="1" ht="57" customHeight="1">
      <c r="A29" s="55"/>
      <c r="B29" s="30"/>
      <c r="C29" s="8"/>
      <c r="D29" s="9"/>
      <c r="E29" s="52"/>
      <c r="F29" s="11"/>
      <c r="G29" s="12"/>
      <c r="H29" s="12"/>
      <c r="I29" s="10"/>
      <c r="J29" s="10"/>
      <c r="K29" s="29"/>
      <c r="L29" s="31"/>
    </row>
    <row r="30" spans="1:12" s="32" customFormat="1" ht="24" customHeight="1">
      <c r="A30" s="30"/>
      <c r="B30" s="30"/>
      <c r="C30" s="8"/>
      <c r="D30" s="9"/>
      <c r="E30" s="52"/>
      <c r="F30" s="11"/>
      <c r="G30" s="12"/>
      <c r="H30" s="12"/>
      <c r="I30" s="10"/>
      <c r="J30" s="10"/>
      <c r="K30" s="29"/>
      <c r="L30" s="31"/>
    </row>
    <row r="31" spans="1:12" s="32" customFormat="1" ht="24" customHeight="1">
      <c r="A31" s="30"/>
      <c r="B31" s="30"/>
      <c r="C31" s="8"/>
      <c r="D31" s="9"/>
      <c r="E31" s="53"/>
      <c r="F31" s="11"/>
      <c r="G31" s="12"/>
      <c r="H31" s="12"/>
      <c r="I31" s="10"/>
      <c r="J31" s="10"/>
      <c r="K31" s="29"/>
      <c r="L31" s="31"/>
    </row>
  </sheetData>
  <autoFilter ref="A14:M23" xr:uid="{C155F3F1-DB5D-4AC8-BEB0-4347C3A784A1}"/>
  <mergeCells count="1">
    <mergeCell ref="A12:E12"/>
  </mergeCells>
  <dataValidations count="2">
    <dataValidation type="list" allowBlank="1" showInputMessage="1" showErrorMessage="1" sqref="G29:G60" xr:uid="{DF809EAC-B163-433B-B66B-04C649DA7886}">
      <formula1>$B$2:$B$11</formula1>
    </dataValidation>
    <dataValidation type="list" allowBlank="1" showInputMessage="1" showErrorMessage="1" sqref="C20:C31" xr:uid="{D18FCF9E-72B3-41D1-BDC3-4B70ED69982D}">
      <formula1>$M$15:$M$15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AB541-E799-4C71-8358-BD8FA49688F0}">
  <sheetPr>
    <pageSetUpPr fitToPage="1"/>
  </sheetPr>
  <dimension ref="A1:M32"/>
  <sheetViews>
    <sheetView topLeftCell="A21" zoomScale="70" zoomScaleNormal="70" workbookViewId="0">
      <selection activeCell="D22" sqref="D22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61.85546875" style="36" bestFit="1" customWidth="1"/>
    <col min="5" max="5" width="60.42578125" style="54" customWidth="1"/>
    <col min="6" max="6" width="23.42578125" style="37" customWidth="1"/>
    <col min="7" max="7" width="26.1406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3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3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3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3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3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3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3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3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3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3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3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3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3" s="21" customFormat="1" ht="15">
      <c r="A13" s="26"/>
      <c r="B13" s="26"/>
      <c r="C13" s="27"/>
      <c r="D13" s="28"/>
      <c r="E13" s="49"/>
      <c r="F13" s="20"/>
      <c r="L13" s="19"/>
    </row>
    <row r="14" spans="1:13" s="4" customFormat="1" ht="42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3" ht="57" customHeight="1">
      <c r="A15" s="55">
        <v>1</v>
      </c>
      <c r="B15" s="63" t="s">
        <v>104</v>
      </c>
      <c r="C15" s="63" t="s">
        <v>20</v>
      </c>
      <c r="D15" s="64" t="s">
        <v>86</v>
      </c>
      <c r="E15" s="51" t="s">
        <v>120</v>
      </c>
      <c r="F15" s="65">
        <v>15181704000</v>
      </c>
      <c r="G15" s="51" t="s">
        <v>87</v>
      </c>
      <c r="H15" s="56" t="s">
        <v>5</v>
      </c>
      <c r="I15" s="10" t="s">
        <v>21</v>
      </c>
      <c r="J15" s="10">
        <v>12</v>
      </c>
      <c r="K15" s="10"/>
      <c r="M15" s="14" t="s">
        <v>24</v>
      </c>
    </row>
    <row r="16" spans="1:13" ht="57" customHeight="1">
      <c r="A16" s="55">
        <v>2</v>
      </c>
      <c r="B16" s="63" t="s">
        <v>104</v>
      </c>
      <c r="C16" s="63" t="s">
        <v>20</v>
      </c>
      <c r="D16" s="64" t="s">
        <v>88</v>
      </c>
      <c r="E16" s="52" t="s">
        <v>121</v>
      </c>
      <c r="F16" s="65">
        <v>3220914000</v>
      </c>
      <c r="G16" s="51" t="s">
        <v>87</v>
      </c>
      <c r="H16" s="56"/>
      <c r="I16" s="10"/>
      <c r="J16" s="10"/>
      <c r="K16" s="10"/>
    </row>
    <row r="17" spans="1:12" ht="57" customHeight="1">
      <c r="A17" s="55">
        <v>3</v>
      </c>
      <c r="B17" s="63" t="s">
        <v>104</v>
      </c>
      <c r="C17" s="63" t="s">
        <v>92</v>
      </c>
      <c r="D17" s="64" t="s">
        <v>152</v>
      </c>
      <c r="E17" s="51" t="s">
        <v>153</v>
      </c>
      <c r="F17" s="65">
        <v>15000000000</v>
      </c>
      <c r="G17" s="51" t="s">
        <v>156</v>
      </c>
      <c r="H17" s="56"/>
      <c r="I17" s="10"/>
      <c r="J17" s="10"/>
      <c r="K17" s="10"/>
    </row>
    <row r="18" spans="1:12" ht="57" customHeight="1">
      <c r="A18" s="55"/>
      <c r="B18" s="63" t="s">
        <v>104</v>
      </c>
      <c r="C18" s="63" t="s">
        <v>20</v>
      </c>
      <c r="D18" s="64" t="s">
        <v>169</v>
      </c>
      <c r="E18" s="51" t="s">
        <v>170</v>
      </c>
      <c r="F18" s="65">
        <v>2000000000</v>
      </c>
      <c r="G18" s="51" t="s">
        <v>156</v>
      </c>
      <c r="H18" s="56"/>
      <c r="I18" s="10"/>
      <c r="J18" s="10"/>
      <c r="K18" s="10"/>
    </row>
    <row r="19" spans="1:12" s="13" customFormat="1" ht="57" customHeight="1">
      <c r="A19" s="55">
        <v>4</v>
      </c>
      <c r="B19" s="63" t="s">
        <v>104</v>
      </c>
      <c r="C19" s="63" t="s">
        <v>20</v>
      </c>
      <c r="D19" s="64" t="s">
        <v>154</v>
      </c>
      <c r="E19" s="51" t="s">
        <v>155</v>
      </c>
      <c r="F19" s="65">
        <v>9592930200</v>
      </c>
      <c r="G19" s="51" t="s">
        <v>5</v>
      </c>
      <c r="H19" s="56"/>
      <c r="I19" s="10"/>
      <c r="J19" s="10"/>
      <c r="K19" s="10"/>
    </row>
    <row r="20" spans="1:12" s="13" customFormat="1" ht="57" customHeight="1">
      <c r="A20" s="55">
        <v>5</v>
      </c>
      <c r="B20" s="63" t="s">
        <v>148</v>
      </c>
      <c r="C20" s="8" t="s">
        <v>20</v>
      </c>
      <c r="D20" s="9" t="s">
        <v>149</v>
      </c>
      <c r="E20" s="51" t="s">
        <v>150</v>
      </c>
      <c r="F20" s="71">
        <v>1299657280</v>
      </c>
      <c r="G20" s="12" t="s">
        <v>3</v>
      </c>
      <c r="H20" s="12"/>
      <c r="I20" s="10"/>
      <c r="J20" s="10"/>
      <c r="K20" s="10"/>
    </row>
    <row r="21" spans="1:12" s="13" customFormat="1" ht="57" customHeight="1">
      <c r="A21" s="55">
        <v>6</v>
      </c>
      <c r="B21" s="63" t="s">
        <v>148</v>
      </c>
      <c r="C21" s="8" t="s">
        <v>20</v>
      </c>
      <c r="D21" s="9" t="s">
        <v>151</v>
      </c>
      <c r="E21" s="51" t="s">
        <v>150</v>
      </c>
      <c r="F21" s="71">
        <v>1299657280</v>
      </c>
      <c r="G21" s="12" t="s">
        <v>3</v>
      </c>
      <c r="H21" s="12"/>
      <c r="I21" s="10"/>
      <c r="J21" s="10"/>
      <c r="K21" s="10"/>
    </row>
    <row r="22" spans="1:12" s="13" customFormat="1" ht="57" customHeight="1">
      <c r="A22" s="55">
        <v>7</v>
      </c>
      <c r="B22" s="63" t="s">
        <v>104</v>
      </c>
      <c r="C22" s="8" t="s">
        <v>24</v>
      </c>
      <c r="D22" s="64" t="s">
        <v>164</v>
      </c>
      <c r="E22" s="51" t="s">
        <v>165</v>
      </c>
      <c r="F22" s="71">
        <v>5241717000</v>
      </c>
      <c r="G22" s="12" t="s">
        <v>160</v>
      </c>
      <c r="H22" s="12"/>
      <c r="I22" s="10"/>
      <c r="J22" s="10"/>
      <c r="K22" s="10"/>
    </row>
    <row r="23" spans="1:12" ht="57" customHeight="1">
      <c r="A23" s="55">
        <v>8</v>
      </c>
      <c r="B23" s="63" t="s">
        <v>104</v>
      </c>
      <c r="C23" s="8" t="s">
        <v>20</v>
      </c>
      <c r="D23" s="9" t="s">
        <v>58</v>
      </c>
      <c r="E23" s="51" t="s">
        <v>158</v>
      </c>
      <c r="F23" s="71">
        <v>919606364</v>
      </c>
      <c r="G23" s="12" t="s">
        <v>160</v>
      </c>
      <c r="H23" s="12"/>
      <c r="I23" s="10"/>
      <c r="J23" s="10"/>
      <c r="K23" s="10"/>
    </row>
    <row r="24" spans="1:12" s="32" customFormat="1" ht="57" customHeight="1">
      <c r="A24" s="55">
        <v>9</v>
      </c>
      <c r="B24" s="63" t="s">
        <v>104</v>
      </c>
      <c r="C24" s="8" t="s">
        <v>20</v>
      </c>
      <c r="D24" s="9" t="s">
        <v>157</v>
      </c>
      <c r="E24" s="51" t="s">
        <v>159</v>
      </c>
      <c r="F24" s="71">
        <v>971704830</v>
      </c>
      <c r="G24" s="12" t="s">
        <v>160</v>
      </c>
      <c r="H24" s="12"/>
      <c r="I24" s="10"/>
      <c r="J24" s="10"/>
      <c r="K24" s="29"/>
      <c r="L24" s="31"/>
    </row>
    <row r="25" spans="1:12" s="32" customFormat="1" ht="57" customHeight="1">
      <c r="A25" s="55">
        <v>10</v>
      </c>
      <c r="B25" s="63" t="s">
        <v>104</v>
      </c>
      <c r="C25" s="8" t="s">
        <v>20</v>
      </c>
      <c r="D25" s="9" t="s">
        <v>157</v>
      </c>
      <c r="E25" s="51" t="s">
        <v>163</v>
      </c>
      <c r="F25" s="71">
        <v>403242924</v>
      </c>
      <c r="G25" s="12" t="s">
        <v>160</v>
      </c>
      <c r="H25" s="12"/>
      <c r="I25" s="10"/>
      <c r="J25" s="10"/>
      <c r="K25" s="29"/>
      <c r="L25" s="31"/>
    </row>
    <row r="26" spans="1:12" s="32" customFormat="1" ht="57" customHeight="1">
      <c r="A26" s="55">
        <v>11</v>
      </c>
      <c r="B26" s="63" t="s">
        <v>104</v>
      </c>
      <c r="C26" s="8" t="s">
        <v>20</v>
      </c>
      <c r="D26" s="64" t="s">
        <v>58</v>
      </c>
      <c r="E26" s="51" t="s">
        <v>166</v>
      </c>
      <c r="F26" s="71">
        <v>735556633</v>
      </c>
      <c r="G26" s="12" t="s">
        <v>160</v>
      </c>
      <c r="H26" s="12"/>
      <c r="I26" s="10"/>
      <c r="J26" s="10"/>
      <c r="K26" s="29"/>
      <c r="L26" s="31"/>
    </row>
    <row r="27" spans="1:12" s="32" customFormat="1" ht="57" customHeight="1">
      <c r="A27" s="55">
        <v>12</v>
      </c>
      <c r="B27" s="63" t="s">
        <v>104</v>
      </c>
      <c r="C27" s="8" t="s">
        <v>20</v>
      </c>
      <c r="D27" s="64" t="s">
        <v>58</v>
      </c>
      <c r="E27" s="51" t="s">
        <v>167</v>
      </c>
      <c r="F27" s="71">
        <v>952927836</v>
      </c>
      <c r="G27" s="12" t="s">
        <v>160</v>
      </c>
      <c r="H27" s="12"/>
      <c r="I27" s="10"/>
      <c r="J27" s="10"/>
      <c r="K27" s="29"/>
      <c r="L27" s="31"/>
    </row>
    <row r="28" spans="1:12" s="32" customFormat="1" ht="57" customHeight="1">
      <c r="A28" s="55">
        <v>13</v>
      </c>
      <c r="B28" s="63" t="s">
        <v>104</v>
      </c>
      <c r="C28" s="8" t="s">
        <v>20</v>
      </c>
      <c r="D28" s="9" t="s">
        <v>57</v>
      </c>
      <c r="E28" s="51" t="s">
        <v>168</v>
      </c>
      <c r="F28" s="71">
        <v>2766000000</v>
      </c>
      <c r="G28" s="12" t="s">
        <v>160</v>
      </c>
      <c r="H28" s="12"/>
      <c r="I28" s="10"/>
      <c r="J28" s="10"/>
      <c r="K28" s="29"/>
      <c r="L28" s="31"/>
    </row>
    <row r="29" spans="1:12" s="32" customFormat="1" ht="57" customHeight="1">
      <c r="A29" s="55">
        <v>14</v>
      </c>
      <c r="B29" s="63" t="s">
        <v>104</v>
      </c>
      <c r="C29" s="8" t="s">
        <v>20</v>
      </c>
      <c r="D29" s="9" t="s">
        <v>161</v>
      </c>
      <c r="E29" s="51" t="s">
        <v>162</v>
      </c>
      <c r="F29" s="71">
        <v>6261412000</v>
      </c>
      <c r="G29" s="12" t="s">
        <v>40</v>
      </c>
      <c r="H29" s="12"/>
      <c r="I29" s="10"/>
      <c r="J29" s="10"/>
      <c r="K29" s="29"/>
      <c r="L29" s="31"/>
    </row>
    <row r="30" spans="1:12" s="32" customFormat="1" ht="57" customHeight="1">
      <c r="A30" s="55"/>
      <c r="B30" s="30"/>
      <c r="C30" s="8"/>
      <c r="D30" s="9"/>
      <c r="E30" s="52"/>
      <c r="F30" s="11"/>
      <c r="G30" s="12"/>
      <c r="H30" s="12"/>
      <c r="I30" s="10"/>
      <c r="J30" s="10"/>
      <c r="K30" s="29"/>
      <c r="L30" s="31"/>
    </row>
    <row r="31" spans="1:12" s="32" customFormat="1" ht="24" customHeight="1">
      <c r="A31" s="30"/>
      <c r="B31" s="30"/>
      <c r="C31" s="8"/>
      <c r="D31" s="9"/>
      <c r="E31" s="52"/>
      <c r="F31" s="11"/>
      <c r="G31" s="12"/>
      <c r="H31" s="12"/>
      <c r="I31" s="10"/>
      <c r="J31" s="10"/>
      <c r="K31" s="29"/>
      <c r="L31" s="31"/>
    </row>
    <row r="32" spans="1:12" s="32" customFormat="1" ht="24" customHeight="1">
      <c r="A32" s="30"/>
      <c r="B32" s="30"/>
      <c r="C32" s="8"/>
      <c r="D32" s="9"/>
      <c r="E32" s="53"/>
      <c r="F32" s="11"/>
      <c r="G32" s="12"/>
      <c r="H32" s="12"/>
      <c r="I32" s="10"/>
      <c r="J32" s="10"/>
      <c r="K32" s="29"/>
      <c r="L32" s="31"/>
    </row>
  </sheetData>
  <autoFilter ref="A14:M24" xr:uid="{C155F3F1-DB5D-4AC8-BEB0-4347C3A784A1}"/>
  <mergeCells count="1">
    <mergeCell ref="A12:E12"/>
  </mergeCells>
  <phoneticPr fontId="12" type="noConversion"/>
  <dataValidations count="2">
    <dataValidation type="list" allowBlank="1" showInputMessage="1" showErrorMessage="1" sqref="G30:G61" xr:uid="{A3B416EF-DCC2-465C-B2B8-C32E4E2F938F}">
      <formula1>$B$2:$B$11</formula1>
    </dataValidation>
    <dataValidation type="list" allowBlank="1" showInputMessage="1" showErrorMessage="1" sqref="C20:C32" xr:uid="{BC0C40DB-E53F-42AD-8E17-B728CC3E6203}">
      <formula1>$M$15:$M$17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0B85-4C1B-4C0C-9449-28743D809F47}">
  <sheetPr>
    <pageSetUpPr fitToPage="1"/>
  </sheetPr>
  <dimension ref="A1:M30"/>
  <sheetViews>
    <sheetView topLeftCell="A18" zoomScale="70" zoomScaleNormal="70" workbookViewId="0">
      <selection activeCell="L27" sqref="L27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61.85546875" style="36" bestFit="1" customWidth="1"/>
    <col min="5" max="5" width="60.42578125" style="54" customWidth="1"/>
    <col min="6" max="6" width="23.42578125" style="37" customWidth="1"/>
    <col min="7" max="7" width="26.1406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3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3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3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3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3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3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3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3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3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3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3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3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3" s="21" customFormat="1" ht="15">
      <c r="A13" s="26"/>
      <c r="B13" s="26"/>
      <c r="C13" s="27"/>
      <c r="D13" s="28"/>
      <c r="E13" s="49"/>
      <c r="F13" s="20"/>
      <c r="L13" s="19"/>
    </row>
    <row r="14" spans="1:13" s="4" customFormat="1" ht="42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3" ht="57" customHeight="1">
      <c r="A15" s="55">
        <v>1</v>
      </c>
      <c r="B15" s="63" t="s">
        <v>104</v>
      </c>
      <c r="C15" s="63" t="s">
        <v>20</v>
      </c>
      <c r="D15" s="64" t="s">
        <v>117</v>
      </c>
      <c r="E15" s="51" t="s">
        <v>139</v>
      </c>
      <c r="F15" s="65">
        <v>4143239000</v>
      </c>
      <c r="G15" s="51" t="s">
        <v>40</v>
      </c>
      <c r="H15" s="56" t="s">
        <v>5</v>
      </c>
      <c r="I15" s="10" t="s">
        <v>21</v>
      </c>
      <c r="J15" s="10">
        <v>12</v>
      </c>
      <c r="K15" s="10"/>
      <c r="M15" s="14" t="s">
        <v>24</v>
      </c>
    </row>
    <row r="16" spans="1:13" ht="57" customHeight="1">
      <c r="A16" s="55">
        <v>2</v>
      </c>
      <c r="B16" s="63" t="s">
        <v>104</v>
      </c>
      <c r="C16" s="63" t="s">
        <v>92</v>
      </c>
      <c r="D16" s="64" t="s">
        <v>123</v>
      </c>
      <c r="E16" s="52" t="s">
        <v>124</v>
      </c>
      <c r="F16" s="65">
        <v>4143239000</v>
      </c>
      <c r="G16" s="51" t="s">
        <v>40</v>
      </c>
      <c r="H16" s="56"/>
      <c r="I16" s="10"/>
      <c r="J16" s="10"/>
      <c r="K16" s="10"/>
    </row>
    <row r="17" spans="1:12" ht="57" customHeight="1">
      <c r="A17" s="55">
        <v>3</v>
      </c>
      <c r="B17" s="63" t="s">
        <v>104</v>
      </c>
      <c r="C17" s="63" t="s">
        <v>92</v>
      </c>
      <c r="D17" s="64" t="s">
        <v>123</v>
      </c>
      <c r="E17" s="51" t="s">
        <v>125</v>
      </c>
      <c r="F17" s="65">
        <v>1000000000</v>
      </c>
      <c r="G17" s="51" t="s">
        <v>40</v>
      </c>
      <c r="H17" s="56"/>
      <c r="I17" s="10"/>
      <c r="J17" s="10"/>
      <c r="K17" s="10"/>
    </row>
    <row r="18" spans="1:12" s="13" customFormat="1" ht="57" customHeight="1">
      <c r="A18" s="55">
        <v>4</v>
      </c>
      <c r="B18" s="63" t="s">
        <v>104</v>
      </c>
      <c r="C18" s="63" t="s">
        <v>20</v>
      </c>
      <c r="D18" s="64" t="s">
        <v>140</v>
      </c>
      <c r="E18" s="51" t="s">
        <v>138</v>
      </c>
      <c r="F18" s="65">
        <v>2454500000</v>
      </c>
      <c r="G18" s="51" t="s">
        <v>137</v>
      </c>
      <c r="H18" s="56"/>
      <c r="I18" s="10"/>
      <c r="J18" s="10"/>
      <c r="K18" s="10"/>
    </row>
    <row r="19" spans="1:12" s="13" customFormat="1" ht="57" customHeight="1">
      <c r="A19" s="55">
        <v>5</v>
      </c>
      <c r="B19" s="63" t="s">
        <v>104</v>
      </c>
      <c r="C19" s="8" t="s">
        <v>20</v>
      </c>
      <c r="D19" s="9" t="s">
        <v>86</v>
      </c>
      <c r="E19" s="51" t="s">
        <v>120</v>
      </c>
      <c r="F19" s="71">
        <v>15181704000</v>
      </c>
      <c r="G19" s="12" t="s">
        <v>87</v>
      </c>
      <c r="H19" s="12"/>
      <c r="I19" s="10"/>
      <c r="J19" s="10"/>
      <c r="K19" s="10"/>
    </row>
    <row r="20" spans="1:12" s="13" customFormat="1" ht="57" customHeight="1">
      <c r="A20" s="55">
        <v>6</v>
      </c>
      <c r="B20" s="63" t="s">
        <v>104</v>
      </c>
      <c r="C20" s="8" t="s">
        <v>20</v>
      </c>
      <c r="D20" s="9" t="s">
        <v>88</v>
      </c>
      <c r="E20" s="51" t="s">
        <v>121</v>
      </c>
      <c r="F20" s="71">
        <v>3220914000</v>
      </c>
      <c r="G20" s="12" t="s">
        <v>87</v>
      </c>
      <c r="H20" s="12"/>
      <c r="I20" s="10"/>
      <c r="J20" s="10"/>
      <c r="K20" s="10"/>
    </row>
    <row r="21" spans="1:12" s="13" customFormat="1" ht="57" customHeight="1">
      <c r="A21" s="55">
        <v>7</v>
      </c>
      <c r="B21" s="63" t="s">
        <v>104</v>
      </c>
      <c r="C21" s="8" t="s">
        <v>20</v>
      </c>
      <c r="D21" s="9" t="s">
        <v>89</v>
      </c>
      <c r="E21" s="51" t="s">
        <v>144</v>
      </c>
      <c r="F21" s="71">
        <v>6998508000</v>
      </c>
      <c r="G21" s="12" t="s">
        <v>87</v>
      </c>
      <c r="H21" s="12"/>
      <c r="I21" s="10"/>
      <c r="J21" s="10"/>
      <c r="K21" s="10"/>
    </row>
    <row r="22" spans="1:12" s="13" customFormat="1" ht="57" customHeight="1">
      <c r="A22" s="55">
        <v>8</v>
      </c>
      <c r="B22" s="63" t="s">
        <v>107</v>
      </c>
      <c r="C22" s="8" t="s">
        <v>20</v>
      </c>
      <c r="D22" s="9" t="s">
        <v>107</v>
      </c>
      <c r="E22" s="51" t="s">
        <v>133</v>
      </c>
      <c r="F22" s="71">
        <v>20000000</v>
      </c>
      <c r="G22" s="12" t="s">
        <v>8</v>
      </c>
      <c r="H22" s="12"/>
      <c r="I22" s="10"/>
      <c r="J22" s="10"/>
      <c r="K22" s="10"/>
    </row>
    <row r="23" spans="1:12" s="13" customFormat="1" ht="57" customHeight="1">
      <c r="A23" s="55">
        <v>9</v>
      </c>
      <c r="B23" s="63" t="s">
        <v>148</v>
      </c>
      <c r="C23" s="8" t="s">
        <v>20</v>
      </c>
      <c r="D23" s="9" t="s">
        <v>149</v>
      </c>
      <c r="E23" s="51" t="s">
        <v>150</v>
      </c>
      <c r="F23" s="71">
        <v>1299657280</v>
      </c>
      <c r="G23" s="12" t="s">
        <v>3</v>
      </c>
      <c r="H23" s="12"/>
      <c r="I23" s="10"/>
      <c r="J23" s="10"/>
      <c r="K23" s="10"/>
    </row>
    <row r="24" spans="1:12" s="13" customFormat="1" ht="57" customHeight="1">
      <c r="A24" s="55">
        <v>10</v>
      </c>
      <c r="B24" s="63" t="s">
        <v>148</v>
      </c>
      <c r="C24" s="8" t="s">
        <v>20</v>
      </c>
      <c r="D24" s="9" t="s">
        <v>151</v>
      </c>
      <c r="E24" s="51" t="s">
        <v>150</v>
      </c>
      <c r="F24" s="71">
        <v>1299657280</v>
      </c>
      <c r="G24" s="12" t="s">
        <v>3</v>
      </c>
      <c r="H24" s="12"/>
      <c r="I24" s="10"/>
      <c r="J24" s="10"/>
      <c r="K24" s="10"/>
    </row>
    <row r="25" spans="1:12" ht="57" customHeight="1">
      <c r="A25" s="55"/>
      <c r="B25" s="63"/>
      <c r="C25" s="8"/>
      <c r="D25" s="9"/>
      <c r="E25" s="51"/>
      <c r="F25" s="71"/>
      <c r="G25" s="12"/>
      <c r="H25" s="12"/>
      <c r="I25" s="10"/>
      <c r="J25" s="10"/>
      <c r="K25" s="10"/>
    </row>
    <row r="26" spans="1:12" s="32" customFormat="1" ht="57" customHeight="1">
      <c r="A26" s="55"/>
      <c r="B26" s="63"/>
      <c r="C26" s="8"/>
      <c r="D26" s="9"/>
      <c r="E26" s="51"/>
      <c r="F26" s="71"/>
      <c r="G26" s="12"/>
      <c r="H26" s="12"/>
      <c r="I26" s="10"/>
      <c r="J26" s="10"/>
      <c r="K26" s="29"/>
      <c r="L26" s="31"/>
    </row>
    <row r="27" spans="1:12" s="32" customFormat="1" ht="57" customHeight="1">
      <c r="A27" s="55"/>
      <c r="B27" s="63"/>
      <c r="C27" s="8"/>
      <c r="D27" s="9"/>
      <c r="E27" s="51"/>
      <c r="F27" s="71"/>
      <c r="G27" s="12"/>
      <c r="H27" s="12"/>
      <c r="I27" s="10"/>
      <c r="J27" s="10"/>
      <c r="K27" s="29"/>
      <c r="L27" s="31"/>
    </row>
    <row r="28" spans="1:12" s="32" customFormat="1" ht="57" customHeight="1">
      <c r="A28" s="55"/>
      <c r="B28" s="30"/>
      <c r="C28" s="8"/>
      <c r="D28" s="9"/>
      <c r="E28" s="52"/>
      <c r="F28" s="11"/>
      <c r="G28" s="12"/>
      <c r="H28" s="12"/>
      <c r="I28" s="10"/>
      <c r="J28" s="10"/>
      <c r="K28" s="29"/>
      <c r="L28" s="31"/>
    </row>
    <row r="29" spans="1:12" s="32" customFormat="1" ht="24" customHeight="1">
      <c r="A29" s="30"/>
      <c r="B29" s="30"/>
      <c r="C29" s="8"/>
      <c r="D29" s="9"/>
      <c r="E29" s="52"/>
      <c r="F29" s="11"/>
      <c r="G29" s="12"/>
      <c r="H29" s="12"/>
      <c r="I29" s="10"/>
      <c r="J29" s="10"/>
      <c r="K29" s="29"/>
      <c r="L29" s="31"/>
    </row>
    <row r="30" spans="1:12" s="32" customFormat="1" ht="24" customHeight="1">
      <c r="A30" s="30"/>
      <c r="B30" s="30"/>
      <c r="C30" s="8"/>
      <c r="D30" s="9"/>
      <c r="E30" s="53"/>
      <c r="F30" s="11"/>
      <c r="G30" s="12"/>
      <c r="H30" s="12"/>
      <c r="I30" s="10"/>
      <c r="J30" s="10"/>
      <c r="K30" s="29"/>
      <c r="L30" s="31"/>
    </row>
  </sheetData>
  <autoFilter ref="A14:M26" xr:uid="{C155F3F1-DB5D-4AC8-BEB0-4347C3A784A1}"/>
  <mergeCells count="1">
    <mergeCell ref="A12:E12"/>
  </mergeCells>
  <dataValidations count="2">
    <dataValidation type="list" allowBlank="1" showInputMessage="1" showErrorMessage="1" sqref="C19:C30" xr:uid="{369329C2-3E25-4F99-BD22-8C7B5F84CA2B}">
      <formula1>$M$15:$M$17</formula1>
    </dataValidation>
    <dataValidation type="list" allowBlank="1" showInputMessage="1" showErrorMessage="1" sqref="G19:G21 G28:G59" xr:uid="{0EE2A100-4370-4C68-836D-AEEE14D016B3}">
      <formula1>$B$2:$B$11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D73E-748D-4A90-BE6B-84CCD3A30662}">
  <sheetPr>
    <pageSetUpPr fitToPage="1"/>
  </sheetPr>
  <dimension ref="A1:M30"/>
  <sheetViews>
    <sheetView topLeftCell="A12" zoomScale="70" zoomScaleNormal="70" workbookViewId="0">
      <selection activeCell="L27" sqref="L27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61.85546875" style="36" bestFit="1" customWidth="1"/>
    <col min="5" max="5" width="60.42578125" style="54" customWidth="1"/>
    <col min="6" max="6" width="23.42578125" style="37" customWidth="1"/>
    <col min="7" max="7" width="26.1406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3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3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3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3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3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3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3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3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3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3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3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3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3" s="21" customFormat="1" ht="15">
      <c r="A13" s="26"/>
      <c r="B13" s="26"/>
      <c r="C13" s="27"/>
      <c r="D13" s="28"/>
      <c r="E13" s="49"/>
      <c r="F13" s="20"/>
      <c r="L13" s="19"/>
    </row>
    <row r="14" spans="1:13" s="4" customFormat="1" ht="42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3" ht="57" customHeight="1">
      <c r="A15" s="55">
        <v>1</v>
      </c>
      <c r="B15" s="63" t="s">
        <v>102</v>
      </c>
      <c r="C15" s="63" t="s">
        <v>20</v>
      </c>
      <c r="D15" s="64" t="s">
        <v>61</v>
      </c>
      <c r="E15" s="51" t="s">
        <v>119</v>
      </c>
      <c r="F15" s="65">
        <f>939657281-300000000</f>
        <v>639657281</v>
      </c>
      <c r="G15" s="51" t="s">
        <v>3</v>
      </c>
      <c r="H15" s="56" t="s">
        <v>5</v>
      </c>
      <c r="I15" s="10" t="s">
        <v>21</v>
      </c>
      <c r="J15" s="10">
        <v>12</v>
      </c>
      <c r="K15" s="10"/>
      <c r="M15" s="14" t="s">
        <v>24</v>
      </c>
    </row>
    <row r="16" spans="1:13" ht="57" customHeight="1">
      <c r="A16" s="55">
        <v>2</v>
      </c>
      <c r="B16" s="63" t="s">
        <v>102</v>
      </c>
      <c r="C16" s="63" t="s">
        <v>20</v>
      </c>
      <c r="D16" s="64" t="s">
        <v>132</v>
      </c>
      <c r="E16" s="52" t="s">
        <v>119</v>
      </c>
      <c r="F16" s="65">
        <f>939657281-300000000</f>
        <v>639657281</v>
      </c>
      <c r="G16" s="51" t="s">
        <v>3</v>
      </c>
      <c r="H16" s="56"/>
      <c r="I16" s="10"/>
      <c r="J16" s="10"/>
      <c r="K16" s="10"/>
    </row>
    <row r="17" spans="1:12" ht="57" customHeight="1">
      <c r="A17" s="55">
        <v>3</v>
      </c>
      <c r="B17" s="63" t="s">
        <v>104</v>
      </c>
      <c r="C17" s="63" t="s">
        <v>92</v>
      </c>
      <c r="D17" s="64" t="s">
        <v>105</v>
      </c>
      <c r="E17" s="51" t="s">
        <v>136</v>
      </c>
      <c r="F17" s="65">
        <v>6344899802</v>
      </c>
      <c r="G17" s="51" t="s">
        <v>3</v>
      </c>
      <c r="H17" s="56"/>
      <c r="I17" s="10"/>
      <c r="J17" s="10"/>
      <c r="K17" s="10"/>
    </row>
    <row r="18" spans="1:12" s="13" customFormat="1" ht="57" customHeight="1">
      <c r="A18" s="55">
        <v>4</v>
      </c>
      <c r="B18" s="63" t="s">
        <v>107</v>
      </c>
      <c r="C18" s="63" t="s">
        <v>20</v>
      </c>
      <c r="D18" s="64" t="s">
        <v>58</v>
      </c>
      <c r="E18" s="51" t="s">
        <v>147</v>
      </c>
      <c r="F18" s="65">
        <v>1467680003</v>
      </c>
      <c r="G18" s="51" t="s">
        <v>8</v>
      </c>
      <c r="H18" s="56"/>
      <c r="I18" s="10"/>
      <c r="J18" s="10"/>
      <c r="K18" s="10"/>
    </row>
    <row r="19" spans="1:12" s="13" customFormat="1" ht="57" customHeight="1">
      <c r="A19" s="55">
        <v>5</v>
      </c>
      <c r="B19" s="63" t="s">
        <v>104</v>
      </c>
      <c r="C19" s="8" t="s">
        <v>20</v>
      </c>
      <c r="D19" s="9" t="s">
        <v>86</v>
      </c>
      <c r="E19" s="51" t="s">
        <v>120</v>
      </c>
      <c r="F19" s="71">
        <v>15181704000</v>
      </c>
      <c r="G19" s="12" t="s">
        <v>87</v>
      </c>
      <c r="H19" s="12"/>
      <c r="I19" s="10"/>
      <c r="J19" s="10"/>
      <c r="K19" s="10"/>
    </row>
    <row r="20" spans="1:12" s="13" customFormat="1" ht="57" customHeight="1">
      <c r="A20" s="55">
        <v>6</v>
      </c>
      <c r="B20" s="63" t="s">
        <v>104</v>
      </c>
      <c r="C20" s="8" t="s">
        <v>20</v>
      </c>
      <c r="D20" s="9" t="s">
        <v>88</v>
      </c>
      <c r="E20" s="51" t="s">
        <v>121</v>
      </c>
      <c r="F20" s="71">
        <v>3220914000</v>
      </c>
      <c r="G20" s="12" t="s">
        <v>87</v>
      </c>
      <c r="H20" s="12"/>
      <c r="I20" s="10"/>
      <c r="J20" s="10"/>
      <c r="K20" s="10"/>
    </row>
    <row r="21" spans="1:12" s="13" customFormat="1" ht="57" customHeight="1">
      <c r="A21" s="55">
        <v>7</v>
      </c>
      <c r="B21" s="63" t="s">
        <v>104</v>
      </c>
      <c r="C21" s="8" t="s">
        <v>20</v>
      </c>
      <c r="D21" s="9" t="s">
        <v>89</v>
      </c>
      <c r="E21" s="51" t="s">
        <v>144</v>
      </c>
      <c r="F21" s="71">
        <v>6998508000</v>
      </c>
      <c r="G21" s="12" t="s">
        <v>87</v>
      </c>
      <c r="H21" s="12"/>
      <c r="I21" s="10"/>
      <c r="J21" s="10"/>
      <c r="K21" s="10"/>
    </row>
    <row r="22" spans="1:12" s="13" customFormat="1" ht="57" customHeight="1">
      <c r="A22" s="55">
        <v>8</v>
      </c>
      <c r="B22" s="63" t="s">
        <v>104</v>
      </c>
      <c r="C22" s="8" t="s">
        <v>20</v>
      </c>
      <c r="D22" s="9" t="s">
        <v>145</v>
      </c>
      <c r="E22" s="51" t="s">
        <v>146</v>
      </c>
      <c r="F22" s="71">
        <v>2454500000</v>
      </c>
      <c r="G22" s="12" t="s">
        <v>5</v>
      </c>
      <c r="H22" s="12"/>
      <c r="I22" s="10"/>
      <c r="J22" s="10"/>
      <c r="K22" s="10"/>
    </row>
    <row r="23" spans="1:12" s="13" customFormat="1" ht="57" customHeight="1">
      <c r="A23" s="55">
        <v>9</v>
      </c>
      <c r="B23" s="63" t="s">
        <v>104</v>
      </c>
      <c r="C23" s="8" t="s">
        <v>20</v>
      </c>
      <c r="D23" s="9" t="s">
        <v>117</v>
      </c>
      <c r="E23" s="51" t="s">
        <v>139</v>
      </c>
      <c r="F23" s="71">
        <v>4143239000</v>
      </c>
      <c r="G23" s="12" t="s">
        <v>40</v>
      </c>
      <c r="H23" s="12"/>
      <c r="I23" s="10"/>
      <c r="J23" s="10"/>
      <c r="K23" s="10"/>
    </row>
    <row r="24" spans="1:12" s="13" customFormat="1" ht="57" customHeight="1">
      <c r="A24" s="55">
        <v>10</v>
      </c>
      <c r="B24" s="63" t="s">
        <v>104</v>
      </c>
      <c r="C24" s="8" t="s">
        <v>92</v>
      </c>
      <c r="D24" s="9" t="s">
        <v>123</v>
      </c>
      <c r="E24" s="51" t="s">
        <v>124</v>
      </c>
      <c r="F24" s="71">
        <v>4143239000</v>
      </c>
      <c r="G24" s="12" t="s">
        <v>40</v>
      </c>
      <c r="H24" s="12"/>
      <c r="I24" s="10"/>
      <c r="J24" s="10"/>
      <c r="K24" s="10"/>
    </row>
    <row r="25" spans="1:12" ht="57" customHeight="1">
      <c r="A25" s="55">
        <v>11</v>
      </c>
      <c r="B25" s="63" t="s">
        <v>104</v>
      </c>
      <c r="C25" s="8" t="s">
        <v>92</v>
      </c>
      <c r="D25" s="9" t="s">
        <v>123</v>
      </c>
      <c r="E25" s="51" t="s">
        <v>125</v>
      </c>
      <c r="F25" s="71">
        <v>1000000000</v>
      </c>
      <c r="G25" s="12" t="s">
        <v>40</v>
      </c>
      <c r="H25" s="12"/>
      <c r="I25" s="10"/>
      <c r="J25" s="10"/>
      <c r="K25" s="10"/>
    </row>
    <row r="26" spans="1:12" s="32" customFormat="1" ht="57" customHeight="1">
      <c r="A26" s="55">
        <v>12</v>
      </c>
      <c r="B26" s="63" t="s">
        <v>104</v>
      </c>
      <c r="C26" s="8" t="s">
        <v>24</v>
      </c>
      <c r="D26" s="9" t="s">
        <v>114</v>
      </c>
      <c r="E26" s="51" t="s">
        <v>115</v>
      </c>
      <c r="F26" s="71">
        <v>6165687000</v>
      </c>
      <c r="G26" s="12" t="s">
        <v>116</v>
      </c>
      <c r="H26" s="12"/>
      <c r="I26" s="10"/>
      <c r="J26" s="10"/>
      <c r="K26" s="29"/>
      <c r="L26" s="31"/>
    </row>
    <row r="27" spans="1:12" s="32" customFormat="1" ht="57" customHeight="1">
      <c r="A27" s="55">
        <v>13</v>
      </c>
      <c r="B27" s="63" t="s">
        <v>104</v>
      </c>
      <c r="C27" s="8" t="s">
        <v>20</v>
      </c>
      <c r="D27" s="9" t="s">
        <v>117</v>
      </c>
      <c r="E27" s="51" t="s">
        <v>118</v>
      </c>
      <c r="F27" s="71">
        <v>5972583600</v>
      </c>
      <c r="G27" s="12" t="s">
        <v>116</v>
      </c>
      <c r="H27" s="12"/>
      <c r="I27" s="10"/>
      <c r="J27" s="10"/>
      <c r="K27" s="29"/>
      <c r="L27" s="31"/>
    </row>
    <row r="28" spans="1:12" s="32" customFormat="1" ht="57" customHeight="1">
      <c r="A28" s="55"/>
      <c r="B28" s="30"/>
      <c r="C28" s="8"/>
      <c r="D28" s="9"/>
      <c r="E28" s="52"/>
      <c r="F28" s="11"/>
      <c r="G28" s="12"/>
      <c r="H28" s="12"/>
      <c r="I28" s="10"/>
      <c r="J28" s="10"/>
      <c r="K28" s="29"/>
      <c r="L28" s="31"/>
    </row>
    <row r="29" spans="1:12" s="32" customFormat="1" ht="24" customHeight="1">
      <c r="A29" s="30"/>
      <c r="B29" s="30"/>
      <c r="C29" s="8"/>
      <c r="D29" s="9"/>
      <c r="E29" s="52"/>
      <c r="F29" s="11"/>
      <c r="G29" s="12"/>
      <c r="H29" s="12"/>
      <c r="I29" s="10"/>
      <c r="J29" s="10"/>
      <c r="K29" s="29"/>
      <c r="L29" s="31"/>
    </row>
    <row r="30" spans="1:12" s="32" customFormat="1" ht="24" customHeight="1">
      <c r="A30" s="30"/>
      <c r="B30" s="30"/>
      <c r="C30" s="8"/>
      <c r="D30" s="9"/>
      <c r="E30" s="53"/>
      <c r="F30" s="11"/>
      <c r="G30" s="12"/>
      <c r="H30" s="12"/>
      <c r="I30" s="10"/>
      <c r="J30" s="10"/>
      <c r="K30" s="29"/>
      <c r="L30" s="31"/>
    </row>
  </sheetData>
  <autoFilter ref="A14:M26" xr:uid="{C155F3F1-DB5D-4AC8-BEB0-4347C3A784A1}"/>
  <mergeCells count="1">
    <mergeCell ref="A12:E12"/>
  </mergeCells>
  <dataValidations count="2">
    <dataValidation type="list" allowBlank="1" showInputMessage="1" showErrorMessage="1" sqref="G19:G21 G28:G59" xr:uid="{38846DD5-28E3-4A99-8961-8DBA4C9CC1A4}">
      <formula1>$B$2:$B$11</formula1>
    </dataValidation>
    <dataValidation type="list" allowBlank="1" showInputMessage="1" showErrorMessage="1" sqref="C19:C30" xr:uid="{CBB8EBF7-CAA0-47AC-84D6-B0AB21696EFD}">
      <formula1>$M$15:$M$17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FBE5-5958-4D73-A235-C82C91BA0A73}">
  <sheetPr>
    <pageSetUpPr fitToPage="1"/>
  </sheetPr>
  <dimension ref="A1:M31"/>
  <sheetViews>
    <sheetView topLeftCell="A18" zoomScale="70" zoomScaleNormal="70" workbookViewId="0">
      <selection activeCell="E22" sqref="E22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61.85546875" style="36" bestFit="1" customWidth="1"/>
    <col min="5" max="5" width="60.42578125" style="54" customWidth="1"/>
    <col min="6" max="6" width="23.42578125" style="37" customWidth="1"/>
    <col min="7" max="7" width="26.1406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3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3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3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3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3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3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3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3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3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3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3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3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3" s="21" customFormat="1" ht="15">
      <c r="A13" s="26"/>
      <c r="B13" s="26"/>
      <c r="C13" s="27"/>
      <c r="D13" s="28"/>
      <c r="E13" s="49"/>
      <c r="F13" s="20"/>
      <c r="L13" s="19"/>
    </row>
    <row r="14" spans="1:13" s="4" customFormat="1" ht="42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3" ht="57" customHeight="1">
      <c r="A15" s="55">
        <v>1</v>
      </c>
      <c r="B15" s="63" t="s">
        <v>102</v>
      </c>
      <c r="C15" s="63" t="s">
        <v>20</v>
      </c>
      <c r="D15" s="64" t="s">
        <v>61</v>
      </c>
      <c r="E15" s="51" t="s">
        <v>119</v>
      </c>
      <c r="F15" s="65">
        <f>939657281-300000000</f>
        <v>639657281</v>
      </c>
      <c r="G15" s="51" t="s">
        <v>3</v>
      </c>
      <c r="H15" s="56" t="s">
        <v>5</v>
      </c>
      <c r="I15" s="10" t="s">
        <v>21</v>
      </c>
      <c r="J15" s="10">
        <v>12</v>
      </c>
      <c r="K15" s="10"/>
      <c r="M15" s="14" t="s">
        <v>24</v>
      </c>
    </row>
    <row r="16" spans="1:13" ht="57" customHeight="1">
      <c r="A16" s="55">
        <v>2</v>
      </c>
      <c r="B16" s="63" t="s">
        <v>102</v>
      </c>
      <c r="C16" s="63" t="s">
        <v>20</v>
      </c>
      <c r="D16" s="64" t="s">
        <v>132</v>
      </c>
      <c r="E16" s="52" t="s">
        <v>119</v>
      </c>
      <c r="F16" s="65">
        <f>939657281-300000000</f>
        <v>639657281</v>
      </c>
      <c r="G16" s="51" t="s">
        <v>3</v>
      </c>
      <c r="H16" s="56"/>
      <c r="I16" s="10"/>
      <c r="J16" s="10"/>
      <c r="K16" s="10"/>
    </row>
    <row r="17" spans="1:12" ht="57" customHeight="1">
      <c r="A17" s="55">
        <v>3</v>
      </c>
      <c r="B17" s="63" t="s">
        <v>104</v>
      </c>
      <c r="C17" s="63" t="s">
        <v>92</v>
      </c>
      <c r="D17" s="64" t="s">
        <v>105</v>
      </c>
      <c r="E17" s="51" t="s">
        <v>136</v>
      </c>
      <c r="F17" s="65">
        <v>6344899802</v>
      </c>
      <c r="G17" s="51" t="s">
        <v>3</v>
      </c>
      <c r="H17" s="56"/>
      <c r="I17" s="10"/>
      <c r="J17" s="10"/>
      <c r="K17" s="10"/>
    </row>
    <row r="18" spans="1:12" s="13" customFormat="1" ht="57" customHeight="1">
      <c r="A18" s="55">
        <v>4</v>
      </c>
      <c r="B18" s="63" t="s">
        <v>107</v>
      </c>
      <c r="C18" s="63" t="s">
        <v>92</v>
      </c>
      <c r="D18" s="64" t="s">
        <v>122</v>
      </c>
      <c r="E18" s="51" t="s">
        <v>141</v>
      </c>
      <c r="F18" s="65">
        <v>7760099392</v>
      </c>
      <c r="G18" s="51" t="s">
        <v>8</v>
      </c>
      <c r="H18" s="56"/>
      <c r="I18" s="10"/>
      <c r="J18" s="10"/>
      <c r="K18" s="10"/>
    </row>
    <row r="19" spans="1:12" s="13" customFormat="1" ht="57" customHeight="1">
      <c r="A19" s="55">
        <v>5</v>
      </c>
      <c r="B19" s="63" t="s">
        <v>107</v>
      </c>
      <c r="C19" s="63" t="s">
        <v>20</v>
      </c>
      <c r="D19" s="64" t="s">
        <v>58</v>
      </c>
      <c r="E19" s="51" t="s">
        <v>110</v>
      </c>
      <c r="F19" s="65">
        <v>1113999847</v>
      </c>
      <c r="G19" s="51" t="s">
        <v>8</v>
      </c>
      <c r="H19" s="56"/>
      <c r="I19" s="10"/>
      <c r="J19" s="10"/>
      <c r="K19" s="10"/>
    </row>
    <row r="20" spans="1:12" s="13" customFormat="1" ht="57" customHeight="1">
      <c r="A20" s="55">
        <v>6</v>
      </c>
      <c r="B20" s="63" t="s">
        <v>104</v>
      </c>
      <c r="C20" s="8" t="s">
        <v>20</v>
      </c>
      <c r="D20" s="9" t="s">
        <v>86</v>
      </c>
      <c r="E20" s="51" t="s">
        <v>120</v>
      </c>
      <c r="F20" s="71">
        <v>15181704000</v>
      </c>
      <c r="G20" s="12" t="s">
        <v>87</v>
      </c>
      <c r="H20" s="12"/>
      <c r="I20" s="10"/>
      <c r="J20" s="10"/>
      <c r="K20" s="10"/>
    </row>
    <row r="21" spans="1:12" s="13" customFormat="1" ht="57" customHeight="1">
      <c r="A21" s="55">
        <v>7</v>
      </c>
      <c r="B21" s="63" t="s">
        <v>104</v>
      </c>
      <c r="C21" s="8" t="s">
        <v>20</v>
      </c>
      <c r="D21" s="9" t="s">
        <v>88</v>
      </c>
      <c r="E21" s="51" t="s">
        <v>121</v>
      </c>
      <c r="F21" s="71">
        <v>3220914000</v>
      </c>
      <c r="G21" s="12" t="s">
        <v>87</v>
      </c>
      <c r="H21" s="12"/>
      <c r="I21" s="10"/>
      <c r="J21" s="10"/>
      <c r="K21" s="10"/>
    </row>
    <row r="22" spans="1:12" s="13" customFormat="1" ht="57" customHeight="1">
      <c r="A22" s="55">
        <v>8</v>
      </c>
      <c r="B22" s="63" t="s">
        <v>104</v>
      </c>
      <c r="C22" s="8" t="s">
        <v>20</v>
      </c>
      <c r="D22" s="9" t="s">
        <v>89</v>
      </c>
      <c r="E22" s="51" t="s">
        <v>144</v>
      </c>
      <c r="F22" s="71">
        <v>6998508000</v>
      </c>
      <c r="G22" s="12" t="s">
        <v>87</v>
      </c>
      <c r="H22" s="12"/>
      <c r="I22" s="10"/>
      <c r="J22" s="10"/>
      <c r="K22" s="10"/>
    </row>
    <row r="23" spans="1:12" s="13" customFormat="1" ht="57" customHeight="1">
      <c r="A23" s="55">
        <v>9</v>
      </c>
      <c r="B23" s="63" t="s">
        <v>104</v>
      </c>
      <c r="C23" s="8" t="s">
        <v>24</v>
      </c>
      <c r="D23" s="9" t="s">
        <v>114</v>
      </c>
      <c r="E23" s="51" t="s">
        <v>115</v>
      </c>
      <c r="F23" s="71">
        <v>6165687000</v>
      </c>
      <c r="G23" s="12" t="s">
        <v>116</v>
      </c>
      <c r="H23" s="12"/>
      <c r="I23" s="10"/>
      <c r="J23" s="10"/>
      <c r="K23" s="10"/>
    </row>
    <row r="24" spans="1:12" s="13" customFormat="1" ht="57" customHeight="1">
      <c r="A24" s="55">
        <v>10</v>
      </c>
      <c r="B24" s="63" t="s">
        <v>104</v>
      </c>
      <c r="C24" s="8" t="s">
        <v>20</v>
      </c>
      <c r="D24" s="9" t="s">
        <v>117</v>
      </c>
      <c r="E24" s="51" t="s">
        <v>118</v>
      </c>
      <c r="F24" s="71">
        <v>5972583600</v>
      </c>
      <c r="G24" s="12" t="s">
        <v>116</v>
      </c>
      <c r="H24" s="12"/>
      <c r="I24" s="10"/>
      <c r="J24" s="10"/>
      <c r="K24" s="10"/>
    </row>
    <row r="25" spans="1:12" s="13" customFormat="1" ht="57" customHeight="1">
      <c r="A25" s="55">
        <v>11</v>
      </c>
      <c r="B25" s="63" t="s">
        <v>104</v>
      </c>
      <c r="C25" s="8" t="s">
        <v>20</v>
      </c>
      <c r="D25" s="9" t="s">
        <v>117</v>
      </c>
      <c r="E25" s="51" t="s">
        <v>139</v>
      </c>
      <c r="F25" s="71">
        <v>4143239000</v>
      </c>
      <c r="G25" s="12" t="s">
        <v>40</v>
      </c>
      <c r="H25" s="12"/>
      <c r="I25" s="10"/>
      <c r="J25" s="10"/>
      <c r="K25" s="10"/>
    </row>
    <row r="26" spans="1:12" ht="57" customHeight="1">
      <c r="A26" s="55">
        <v>12</v>
      </c>
      <c r="B26" s="63" t="s">
        <v>104</v>
      </c>
      <c r="C26" s="8" t="s">
        <v>24</v>
      </c>
      <c r="D26" s="9" t="s">
        <v>123</v>
      </c>
      <c r="E26" s="51" t="s">
        <v>124</v>
      </c>
      <c r="F26" s="71">
        <v>4143239000</v>
      </c>
      <c r="G26" s="12" t="s">
        <v>40</v>
      </c>
      <c r="H26" s="12"/>
      <c r="I26" s="10"/>
      <c r="J26" s="10"/>
      <c r="K26" s="10"/>
    </row>
    <row r="27" spans="1:12" s="32" customFormat="1" ht="57" customHeight="1">
      <c r="A27" s="55">
        <v>13</v>
      </c>
      <c r="B27" s="63" t="s">
        <v>104</v>
      </c>
      <c r="C27" s="8" t="s">
        <v>24</v>
      </c>
      <c r="D27" s="9" t="s">
        <v>123</v>
      </c>
      <c r="E27" s="52" t="s">
        <v>125</v>
      </c>
      <c r="F27" s="71">
        <v>1000000000</v>
      </c>
      <c r="G27" s="12" t="s">
        <v>40</v>
      </c>
      <c r="H27" s="12"/>
      <c r="I27" s="10"/>
      <c r="J27" s="10"/>
      <c r="K27" s="29"/>
      <c r="L27" s="31"/>
    </row>
    <row r="28" spans="1:12" s="32" customFormat="1" ht="57" customHeight="1">
      <c r="A28" s="55">
        <v>14</v>
      </c>
      <c r="B28" s="63" t="s">
        <v>104</v>
      </c>
      <c r="C28" s="8" t="s">
        <v>20</v>
      </c>
      <c r="D28" s="9" t="s">
        <v>140</v>
      </c>
      <c r="E28" s="51" t="s">
        <v>138</v>
      </c>
      <c r="F28" s="11">
        <v>2454500000</v>
      </c>
      <c r="G28" s="12" t="s">
        <v>137</v>
      </c>
      <c r="H28" s="12"/>
      <c r="I28" s="10"/>
      <c r="J28" s="10"/>
      <c r="K28" s="29"/>
      <c r="L28" s="31"/>
    </row>
    <row r="29" spans="1:12" s="32" customFormat="1" ht="57" customHeight="1">
      <c r="A29" s="55">
        <v>15</v>
      </c>
      <c r="B29" s="30" t="s">
        <v>142</v>
      </c>
      <c r="C29" s="8" t="s">
        <v>20</v>
      </c>
      <c r="D29" s="9" t="s">
        <v>28</v>
      </c>
      <c r="E29" s="52" t="s">
        <v>143</v>
      </c>
      <c r="F29" s="11">
        <v>10000000</v>
      </c>
      <c r="G29" s="12" t="s">
        <v>4</v>
      </c>
      <c r="H29" s="12"/>
      <c r="I29" s="10"/>
      <c r="J29" s="10"/>
      <c r="K29" s="29"/>
      <c r="L29" s="31"/>
    </row>
    <row r="30" spans="1:12" s="32" customFormat="1" ht="24" customHeight="1">
      <c r="A30" s="30"/>
      <c r="B30" s="30"/>
      <c r="C30" s="8"/>
      <c r="D30" s="9"/>
      <c r="E30" s="52"/>
      <c r="F30" s="11"/>
      <c r="G30" s="12"/>
      <c r="H30" s="12"/>
      <c r="I30" s="10"/>
      <c r="J30" s="10"/>
      <c r="K30" s="29"/>
      <c r="L30" s="31"/>
    </row>
    <row r="31" spans="1:12" s="32" customFormat="1" ht="24" customHeight="1">
      <c r="A31" s="30"/>
      <c r="B31" s="30"/>
      <c r="C31" s="8"/>
      <c r="D31" s="9"/>
      <c r="E31" s="53"/>
      <c r="F31" s="11"/>
      <c r="G31" s="12"/>
      <c r="H31" s="12"/>
      <c r="I31" s="10"/>
      <c r="J31" s="10"/>
      <c r="K31" s="29"/>
      <c r="L31" s="31"/>
    </row>
  </sheetData>
  <autoFilter ref="A14:M27" xr:uid="{C155F3F1-DB5D-4AC8-BEB0-4347C3A784A1}"/>
  <mergeCells count="1">
    <mergeCell ref="A12:E12"/>
  </mergeCells>
  <dataValidations count="2">
    <dataValidation type="list" allowBlank="1" showInputMessage="1" showErrorMessage="1" sqref="C20:C31" xr:uid="{80F191AE-32A0-473E-9C5E-67D49CB70D03}">
      <formula1>$M$15:$M$17</formula1>
    </dataValidation>
    <dataValidation type="list" allowBlank="1" showInputMessage="1" showErrorMessage="1" sqref="G20:G22 G28:G60" xr:uid="{02F41703-49FC-4AA7-AD29-F2A672903C31}">
      <formula1>$B$2:$B$11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F3F1-DB5D-4AC8-BEB0-4347C3A784A1}">
  <sheetPr>
    <pageSetUpPr fitToPage="1"/>
  </sheetPr>
  <dimension ref="A1:O34"/>
  <sheetViews>
    <sheetView topLeftCell="A12" zoomScale="70" zoomScaleNormal="70" workbookViewId="0">
      <selection activeCell="G22" sqref="G22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61.85546875" style="36" bestFit="1" customWidth="1"/>
    <col min="5" max="5" width="60.42578125" style="54" customWidth="1"/>
    <col min="6" max="6" width="23.42578125" style="37" customWidth="1"/>
    <col min="7" max="7" width="26.1406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4" width="9.140625" style="14"/>
    <col min="15" max="15" width="15.7109375" style="14" bestFit="1" customWidth="1"/>
    <col min="16" max="16384" width="9.140625" style="14"/>
  </cols>
  <sheetData>
    <row r="1" spans="1:13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3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3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3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3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3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3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3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3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3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3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3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3" s="21" customFormat="1" ht="15">
      <c r="A13" s="26"/>
      <c r="B13" s="26"/>
      <c r="C13" s="27"/>
      <c r="D13" s="28"/>
      <c r="E13" s="49"/>
      <c r="F13" s="20"/>
      <c r="L13" s="19"/>
    </row>
    <row r="14" spans="1:13" s="4" customFormat="1" ht="42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3" ht="48.75" customHeight="1">
      <c r="A15" s="55">
        <v>1</v>
      </c>
      <c r="B15" s="63" t="s">
        <v>102</v>
      </c>
      <c r="C15" s="63" t="s">
        <v>20</v>
      </c>
      <c r="D15" s="64" t="s">
        <v>61</v>
      </c>
      <c r="E15" s="51" t="s">
        <v>119</v>
      </c>
      <c r="F15" s="65">
        <f>939657281-300000000</f>
        <v>639657281</v>
      </c>
      <c r="G15" s="51" t="s">
        <v>3</v>
      </c>
      <c r="H15" s="56" t="s">
        <v>5</v>
      </c>
      <c r="I15" s="10" t="s">
        <v>21</v>
      </c>
      <c r="J15" s="10">
        <v>12</v>
      </c>
      <c r="K15" s="10"/>
      <c r="M15" s="14" t="s">
        <v>24</v>
      </c>
    </row>
    <row r="16" spans="1:13" ht="48.75" customHeight="1">
      <c r="A16" s="55">
        <v>2</v>
      </c>
      <c r="B16" s="63" t="s">
        <v>102</v>
      </c>
      <c r="C16" s="63" t="s">
        <v>20</v>
      </c>
      <c r="D16" s="64" t="s">
        <v>132</v>
      </c>
      <c r="E16" s="52" t="s">
        <v>119</v>
      </c>
      <c r="F16" s="65">
        <f>939657281-300000000</f>
        <v>639657281</v>
      </c>
      <c r="G16" s="51" t="s">
        <v>3</v>
      </c>
      <c r="H16" s="56"/>
      <c r="I16" s="10"/>
      <c r="J16" s="10"/>
      <c r="K16" s="10"/>
    </row>
    <row r="17" spans="1:15" ht="48.75" customHeight="1">
      <c r="A17" s="55">
        <v>3</v>
      </c>
      <c r="B17" s="63" t="s">
        <v>104</v>
      </c>
      <c r="C17" s="63" t="s">
        <v>92</v>
      </c>
      <c r="D17" s="64" t="s">
        <v>105</v>
      </c>
      <c r="E17" s="51" t="s">
        <v>136</v>
      </c>
      <c r="F17" s="65">
        <v>6344899802</v>
      </c>
      <c r="G17" s="51" t="s">
        <v>3</v>
      </c>
      <c r="H17" s="56"/>
      <c r="I17" s="10"/>
      <c r="J17" s="10"/>
      <c r="K17" s="10"/>
    </row>
    <row r="18" spans="1:15" s="13" customFormat="1" ht="48.75" customHeight="1">
      <c r="A18" s="55">
        <v>4</v>
      </c>
      <c r="B18" s="63" t="s">
        <v>107</v>
      </c>
      <c r="C18" s="63" t="s">
        <v>92</v>
      </c>
      <c r="D18" s="64" t="s">
        <v>122</v>
      </c>
      <c r="E18" s="51" t="s">
        <v>108</v>
      </c>
      <c r="F18" s="65">
        <v>3291206162</v>
      </c>
      <c r="G18" s="51" t="s">
        <v>8</v>
      </c>
      <c r="H18" s="56"/>
      <c r="I18" s="10"/>
      <c r="J18" s="10"/>
      <c r="K18" s="10"/>
    </row>
    <row r="19" spans="1:15" s="13" customFormat="1" ht="48.75" customHeight="1">
      <c r="A19" s="55">
        <v>5</v>
      </c>
      <c r="B19" s="63" t="s">
        <v>107</v>
      </c>
      <c r="C19" s="63" t="s">
        <v>20</v>
      </c>
      <c r="D19" s="64" t="s">
        <v>107</v>
      </c>
      <c r="E19" s="51" t="s">
        <v>133</v>
      </c>
      <c r="F19" s="65">
        <v>16500000</v>
      </c>
      <c r="G19" s="51" t="s">
        <v>8</v>
      </c>
      <c r="H19" s="56"/>
      <c r="I19" s="10"/>
      <c r="J19" s="10"/>
      <c r="K19" s="10"/>
    </row>
    <row r="20" spans="1:15" s="13" customFormat="1" ht="48.75" customHeight="1">
      <c r="A20" s="55">
        <v>6</v>
      </c>
      <c r="B20" s="63" t="s">
        <v>107</v>
      </c>
      <c r="C20" s="63" t="s">
        <v>20</v>
      </c>
      <c r="D20" s="64" t="s">
        <v>58</v>
      </c>
      <c r="E20" s="51" t="s">
        <v>110</v>
      </c>
      <c r="F20" s="65">
        <v>1113999847</v>
      </c>
      <c r="G20" s="51" t="s">
        <v>8</v>
      </c>
      <c r="H20" s="56"/>
      <c r="I20" s="10"/>
      <c r="J20" s="10"/>
      <c r="K20" s="10"/>
    </row>
    <row r="21" spans="1:15" s="13" customFormat="1" ht="48.75" customHeight="1">
      <c r="A21" s="55">
        <v>7</v>
      </c>
      <c r="B21" s="63" t="s">
        <v>107</v>
      </c>
      <c r="C21" s="63" t="s">
        <v>20</v>
      </c>
      <c r="D21" s="64" t="s">
        <v>134</v>
      </c>
      <c r="E21" s="51" t="s">
        <v>135</v>
      </c>
      <c r="F21" s="65">
        <v>973722839.39999998</v>
      </c>
      <c r="G21" s="51" t="s">
        <v>8</v>
      </c>
      <c r="H21" s="56"/>
      <c r="I21" s="10"/>
      <c r="J21" s="10"/>
      <c r="K21" s="10"/>
    </row>
    <row r="22" spans="1:15" s="13" customFormat="1" ht="48.75" customHeight="1">
      <c r="A22" s="55">
        <v>8</v>
      </c>
      <c r="B22" s="63" t="s">
        <v>107</v>
      </c>
      <c r="C22" s="63" t="s">
        <v>92</v>
      </c>
      <c r="D22" s="64" t="s">
        <v>122</v>
      </c>
      <c r="E22" s="51" t="s">
        <v>111</v>
      </c>
      <c r="F22" s="65">
        <v>4468893230</v>
      </c>
      <c r="G22" s="51" t="s">
        <v>8</v>
      </c>
      <c r="H22" s="56"/>
      <c r="I22" s="10"/>
      <c r="J22" s="10"/>
      <c r="K22" s="10"/>
      <c r="O22" s="69"/>
    </row>
    <row r="23" spans="1:15" s="13" customFormat="1" ht="48.75" customHeight="1">
      <c r="A23" s="55">
        <v>9</v>
      </c>
      <c r="B23" s="63" t="s">
        <v>104</v>
      </c>
      <c r="C23" s="8" t="s">
        <v>20</v>
      </c>
      <c r="D23" s="9" t="s">
        <v>86</v>
      </c>
      <c r="E23" s="51" t="s">
        <v>120</v>
      </c>
      <c r="F23" s="72">
        <v>15181704000</v>
      </c>
      <c r="G23" s="12" t="s">
        <v>87</v>
      </c>
      <c r="H23" s="12"/>
      <c r="I23" s="10"/>
      <c r="J23" s="10"/>
      <c r="K23" s="10"/>
    </row>
    <row r="24" spans="1:15" s="13" customFormat="1" ht="48.75" customHeight="1">
      <c r="A24" s="55">
        <v>10</v>
      </c>
      <c r="B24" s="63" t="s">
        <v>104</v>
      </c>
      <c r="C24" s="8" t="s">
        <v>20</v>
      </c>
      <c r="D24" s="9" t="s">
        <v>88</v>
      </c>
      <c r="E24" s="51" t="s">
        <v>121</v>
      </c>
      <c r="F24" s="72">
        <v>3220914000</v>
      </c>
      <c r="G24" s="12" t="s">
        <v>87</v>
      </c>
      <c r="H24" s="12"/>
      <c r="I24" s="10"/>
      <c r="J24" s="10"/>
      <c r="K24" s="10"/>
    </row>
    <row r="25" spans="1:15" s="13" customFormat="1" ht="48.75" customHeight="1">
      <c r="A25" s="55">
        <v>11</v>
      </c>
      <c r="B25" s="63" t="s">
        <v>104</v>
      </c>
      <c r="C25" s="8" t="s">
        <v>20</v>
      </c>
      <c r="D25" s="9" t="s">
        <v>89</v>
      </c>
      <c r="E25" s="51" t="s">
        <v>99</v>
      </c>
      <c r="F25" s="72">
        <v>6998508000</v>
      </c>
      <c r="G25" s="12" t="s">
        <v>87</v>
      </c>
      <c r="H25" s="12"/>
      <c r="I25" s="10"/>
      <c r="J25" s="10"/>
      <c r="K25" s="10"/>
    </row>
    <row r="26" spans="1:15" s="13" customFormat="1" ht="48.75" customHeight="1">
      <c r="A26" s="55">
        <v>12</v>
      </c>
      <c r="B26" s="63" t="s">
        <v>104</v>
      </c>
      <c r="C26" s="8" t="s">
        <v>24</v>
      </c>
      <c r="D26" s="9" t="s">
        <v>114</v>
      </c>
      <c r="E26" s="51" t="s">
        <v>115</v>
      </c>
      <c r="F26" s="71">
        <v>6165687000</v>
      </c>
      <c r="G26" s="12" t="s">
        <v>116</v>
      </c>
      <c r="H26" s="12"/>
      <c r="I26" s="10"/>
      <c r="J26" s="10"/>
      <c r="K26" s="10"/>
    </row>
    <row r="27" spans="1:15" s="13" customFormat="1" ht="48.75" customHeight="1">
      <c r="A27" s="55">
        <v>13</v>
      </c>
      <c r="B27" s="63" t="s">
        <v>104</v>
      </c>
      <c r="C27" s="8" t="s">
        <v>20</v>
      </c>
      <c r="D27" s="9" t="s">
        <v>117</v>
      </c>
      <c r="E27" s="51" t="s">
        <v>118</v>
      </c>
      <c r="F27" s="71">
        <v>5972583600</v>
      </c>
      <c r="G27" s="12" t="s">
        <v>116</v>
      </c>
      <c r="H27" s="12"/>
      <c r="I27" s="10"/>
      <c r="J27" s="10"/>
      <c r="K27" s="10"/>
    </row>
    <row r="28" spans="1:15" s="13" customFormat="1" ht="48.75" customHeight="1">
      <c r="A28" s="55">
        <v>14</v>
      </c>
      <c r="B28" s="63" t="s">
        <v>104</v>
      </c>
      <c r="C28" s="8" t="s">
        <v>20</v>
      </c>
      <c r="D28" s="9" t="s">
        <v>117</v>
      </c>
      <c r="E28" s="51" t="s">
        <v>139</v>
      </c>
      <c r="F28" s="72">
        <v>4143239000</v>
      </c>
      <c r="G28" s="12" t="s">
        <v>40</v>
      </c>
      <c r="H28" s="12"/>
      <c r="I28" s="10"/>
      <c r="J28" s="10"/>
      <c r="K28" s="10"/>
    </row>
    <row r="29" spans="1:15" ht="37.5" customHeight="1">
      <c r="A29" s="55">
        <v>15</v>
      </c>
      <c r="B29" s="63" t="s">
        <v>104</v>
      </c>
      <c r="C29" s="8" t="s">
        <v>24</v>
      </c>
      <c r="D29" s="9" t="s">
        <v>123</v>
      </c>
      <c r="E29" s="51" t="s">
        <v>124</v>
      </c>
      <c r="F29" s="72">
        <v>4143239000</v>
      </c>
      <c r="G29" s="12" t="s">
        <v>40</v>
      </c>
      <c r="H29" s="12"/>
      <c r="I29" s="10"/>
      <c r="J29" s="10"/>
      <c r="K29" s="10"/>
    </row>
    <row r="30" spans="1:15" s="32" customFormat="1" ht="42" customHeight="1">
      <c r="A30" s="55">
        <v>16</v>
      </c>
      <c r="B30" s="63" t="s">
        <v>104</v>
      </c>
      <c r="C30" s="8" t="s">
        <v>24</v>
      </c>
      <c r="D30" s="9" t="s">
        <v>123</v>
      </c>
      <c r="E30" s="52" t="s">
        <v>125</v>
      </c>
      <c r="F30" s="72">
        <v>1000000000</v>
      </c>
      <c r="G30" s="12" t="s">
        <v>40</v>
      </c>
      <c r="H30" s="12"/>
      <c r="I30" s="10"/>
      <c r="J30" s="10"/>
      <c r="K30" s="29"/>
      <c r="L30" s="31"/>
    </row>
    <row r="31" spans="1:15" s="32" customFormat="1" ht="24" customHeight="1">
      <c r="A31" s="55">
        <v>17</v>
      </c>
      <c r="B31" s="63" t="s">
        <v>104</v>
      </c>
      <c r="C31" s="8" t="s">
        <v>20</v>
      </c>
      <c r="D31" s="9" t="s">
        <v>140</v>
      </c>
      <c r="E31" s="51" t="s">
        <v>138</v>
      </c>
      <c r="F31" s="66">
        <v>2454500000</v>
      </c>
      <c r="G31" s="12" t="s">
        <v>137</v>
      </c>
      <c r="H31" s="12"/>
      <c r="I31" s="10"/>
      <c r="J31" s="10"/>
      <c r="K31" s="29"/>
      <c r="L31" s="31"/>
    </row>
    <row r="32" spans="1:15" s="32" customFormat="1" ht="24" customHeight="1">
      <c r="A32" s="30"/>
      <c r="B32" s="30"/>
      <c r="C32" s="8"/>
      <c r="D32" s="9"/>
      <c r="E32" s="52"/>
      <c r="F32" s="11"/>
      <c r="G32" s="12"/>
      <c r="H32" s="12"/>
      <c r="I32" s="10"/>
      <c r="J32" s="10"/>
      <c r="K32" s="29"/>
      <c r="L32" s="31"/>
    </row>
    <row r="33" spans="1:12" s="32" customFormat="1" ht="24" customHeight="1">
      <c r="A33" s="30"/>
      <c r="B33" s="30"/>
      <c r="C33" s="8"/>
      <c r="D33" s="9"/>
      <c r="E33" s="52"/>
      <c r="F33" s="11"/>
      <c r="G33" s="12"/>
      <c r="H33" s="12"/>
      <c r="I33" s="10"/>
      <c r="J33" s="10"/>
      <c r="K33" s="29"/>
      <c r="L33" s="31"/>
    </row>
    <row r="34" spans="1:12" s="32" customFormat="1" ht="24" customHeight="1">
      <c r="A34" s="30"/>
      <c r="B34" s="30"/>
      <c r="C34" s="8"/>
      <c r="D34" s="9"/>
      <c r="E34" s="53"/>
      <c r="F34" s="11"/>
      <c r="G34" s="12"/>
      <c r="H34" s="12"/>
      <c r="I34" s="10"/>
      <c r="J34" s="10"/>
      <c r="K34" s="29"/>
      <c r="L34" s="31"/>
    </row>
  </sheetData>
  <autoFilter ref="A14:M30" xr:uid="{C155F3F1-DB5D-4AC8-BEB0-4347C3A784A1}"/>
  <mergeCells count="1">
    <mergeCell ref="A12:E12"/>
  </mergeCells>
  <phoneticPr fontId="12" type="noConversion"/>
  <dataValidations count="2">
    <dataValidation type="list" allowBlank="1" showInputMessage="1" showErrorMessage="1" sqref="G23:G25 G31:G63" xr:uid="{BCB667F2-CD65-47AF-A03B-E1FCCADBE646}">
      <formula1>$B$2:$B$11</formula1>
    </dataValidation>
    <dataValidation type="list" allowBlank="1" showInputMessage="1" showErrorMessage="1" sqref="C23:C34" xr:uid="{33AE117F-B731-4FA4-B85C-C12DEB4A1990}">
      <formula1>$M$15:$M$17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63B0-424D-40B5-BECC-BABA6CA4E0F3}">
  <sheetPr>
    <pageSetUpPr fitToPage="1"/>
  </sheetPr>
  <dimension ref="A1:N25"/>
  <sheetViews>
    <sheetView topLeftCell="A12" zoomScale="70" zoomScaleNormal="70" workbookViewId="0">
      <selection activeCell="G18" sqref="G18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32.28515625" style="36" customWidth="1"/>
    <col min="5" max="5" width="60.42578125" style="54" customWidth="1"/>
    <col min="6" max="6" width="23.42578125" style="37" customWidth="1"/>
    <col min="7" max="7" width="30.28515625" style="14" bestFit="1" customWidth="1"/>
    <col min="8" max="8" width="17.85546875" style="14" customWidth="1"/>
    <col min="9" max="9" width="13.7109375" style="14" bestFit="1" customWidth="1"/>
    <col min="10" max="10" width="15.140625" style="14" bestFit="1" customWidth="1"/>
    <col min="11" max="11" width="21.28515625" style="14" bestFit="1" customWidth="1"/>
    <col min="12" max="12" width="9.140625" style="13"/>
    <col min="13" max="13" width="0" style="14" hidden="1" customWidth="1"/>
    <col min="14" max="14" width="14.42578125" style="14" bestFit="1" customWidth="1"/>
    <col min="15" max="16384" width="9.140625" style="14"/>
  </cols>
  <sheetData>
    <row r="1" spans="1:14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4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4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4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4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4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4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4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4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4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4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4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4" s="21" customFormat="1" ht="15">
      <c r="A13" s="26"/>
      <c r="B13" s="26"/>
      <c r="C13" s="27"/>
      <c r="D13" s="28"/>
      <c r="E13" s="49"/>
      <c r="F13" s="20"/>
      <c r="L13" s="19"/>
    </row>
    <row r="14" spans="1:14" s="4" customFormat="1" ht="68.45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50" t="s">
        <v>129</v>
      </c>
      <c r="I14" s="1" t="s">
        <v>17</v>
      </c>
      <c r="J14" s="1" t="s">
        <v>18</v>
      </c>
      <c r="K14" s="3" t="s">
        <v>19</v>
      </c>
    </row>
    <row r="15" spans="1:14" ht="48.75" customHeight="1">
      <c r="A15" s="55">
        <v>1</v>
      </c>
      <c r="B15" s="63" t="s">
        <v>104</v>
      </c>
      <c r="C15" s="63" t="s">
        <v>92</v>
      </c>
      <c r="D15" s="64" t="s">
        <v>105</v>
      </c>
      <c r="E15" s="51" t="s">
        <v>127</v>
      </c>
      <c r="F15" s="65">
        <v>4344888922</v>
      </c>
      <c r="G15" s="51" t="s">
        <v>3</v>
      </c>
      <c r="H15" s="70">
        <v>46081</v>
      </c>
      <c r="I15" s="10"/>
      <c r="J15" s="10"/>
      <c r="K15" s="10"/>
      <c r="N15" s="67">
        <v>2631906922</v>
      </c>
    </row>
    <row r="16" spans="1:14" ht="48.75" customHeight="1">
      <c r="A16" s="55">
        <v>1</v>
      </c>
      <c r="B16" s="63" t="s">
        <v>104</v>
      </c>
      <c r="C16" s="63" t="s">
        <v>92</v>
      </c>
      <c r="D16" s="64" t="s">
        <v>105</v>
      </c>
      <c r="E16" s="51" t="s">
        <v>128</v>
      </c>
      <c r="F16" s="65">
        <v>2000000000</v>
      </c>
      <c r="G16" s="51" t="s">
        <v>3</v>
      </c>
      <c r="H16" s="70">
        <v>46081</v>
      </c>
      <c r="I16" s="10"/>
      <c r="J16" s="10"/>
      <c r="K16" s="10"/>
      <c r="N16" s="67">
        <v>2631906922</v>
      </c>
    </row>
    <row r="17" spans="1:14" s="13" customFormat="1" ht="48.75" customHeight="1">
      <c r="A17" s="55">
        <v>2</v>
      </c>
      <c r="B17" s="63" t="s">
        <v>107</v>
      </c>
      <c r="C17" s="63" t="s">
        <v>92</v>
      </c>
      <c r="D17" s="64" t="s">
        <v>122</v>
      </c>
      <c r="E17" s="51" t="s">
        <v>108</v>
      </c>
      <c r="F17" s="65">
        <v>3291206162</v>
      </c>
      <c r="G17" s="51" t="s">
        <v>8</v>
      </c>
      <c r="H17" s="70">
        <v>46086</v>
      </c>
      <c r="I17" s="10"/>
      <c r="J17" s="10"/>
      <c r="K17" s="10"/>
      <c r="N17" s="68">
        <v>249354000</v>
      </c>
    </row>
    <row r="18" spans="1:14" s="13" customFormat="1" ht="48.75" customHeight="1">
      <c r="A18" s="55">
        <v>3</v>
      </c>
      <c r="B18" s="63" t="s">
        <v>107</v>
      </c>
      <c r="C18" s="63" t="s">
        <v>92</v>
      </c>
      <c r="D18" s="64" t="s">
        <v>122</v>
      </c>
      <c r="E18" s="51" t="s">
        <v>111</v>
      </c>
      <c r="F18" s="65">
        <v>4468893230</v>
      </c>
      <c r="G18" s="51" t="s">
        <v>8</v>
      </c>
      <c r="H18" s="70">
        <v>46086</v>
      </c>
      <c r="I18" s="10"/>
      <c r="J18" s="10"/>
      <c r="K18" s="10"/>
    </row>
    <row r="19" spans="1:14" s="13" customFormat="1" ht="48.75" customHeight="1">
      <c r="A19" s="55">
        <v>4</v>
      </c>
      <c r="B19" s="63" t="s">
        <v>104</v>
      </c>
      <c r="C19" s="8" t="s">
        <v>24</v>
      </c>
      <c r="D19" s="9" t="s">
        <v>114</v>
      </c>
      <c r="E19" s="51" t="s">
        <v>115</v>
      </c>
      <c r="F19" s="11">
        <v>6165687000</v>
      </c>
      <c r="G19" s="12" t="s">
        <v>130</v>
      </c>
      <c r="H19" s="70">
        <v>46087</v>
      </c>
      <c r="I19" s="10"/>
      <c r="J19" s="10"/>
      <c r="K19" s="10"/>
      <c r="N19" s="69">
        <f>N15+N17+F15</f>
        <v>7226149844</v>
      </c>
    </row>
    <row r="20" spans="1:14" ht="37.5" customHeight="1">
      <c r="A20" s="55">
        <v>5</v>
      </c>
      <c r="B20" s="63" t="s">
        <v>104</v>
      </c>
      <c r="C20" s="8" t="s">
        <v>24</v>
      </c>
      <c r="D20" s="9" t="s">
        <v>123</v>
      </c>
      <c r="E20" s="51" t="s">
        <v>124</v>
      </c>
      <c r="F20" s="11">
        <v>3600000000</v>
      </c>
      <c r="G20" s="12" t="s">
        <v>40</v>
      </c>
      <c r="H20" s="70">
        <v>46087</v>
      </c>
      <c r="I20" s="10"/>
      <c r="J20" s="10"/>
      <c r="K20" s="10"/>
    </row>
    <row r="21" spans="1:14" s="32" customFormat="1" ht="42" customHeight="1">
      <c r="A21" s="55">
        <v>6</v>
      </c>
      <c r="B21" s="63" t="s">
        <v>104</v>
      </c>
      <c r="C21" s="8" t="s">
        <v>24</v>
      </c>
      <c r="D21" s="9" t="s">
        <v>123</v>
      </c>
      <c r="E21" s="52" t="s">
        <v>131</v>
      </c>
      <c r="F21" s="11">
        <v>500000000</v>
      </c>
      <c r="G21" s="12" t="s">
        <v>40</v>
      </c>
      <c r="H21" s="70">
        <v>46087</v>
      </c>
      <c r="I21" s="10"/>
      <c r="J21" s="10"/>
      <c r="K21" s="29"/>
      <c r="L21" s="31"/>
    </row>
    <row r="22" spans="1:14" s="32" customFormat="1" ht="24" customHeight="1">
      <c r="A22" s="7"/>
      <c r="B22" s="30"/>
      <c r="C22" s="8"/>
      <c r="D22" s="9" t="s">
        <v>126</v>
      </c>
      <c r="E22" s="52"/>
      <c r="F22" s="66">
        <f>SUBTOTAL(9,F15:F21)</f>
        <v>24370675314</v>
      </c>
      <c r="G22" s="12"/>
      <c r="H22" s="12"/>
      <c r="I22" s="10"/>
      <c r="J22" s="10"/>
      <c r="K22" s="29"/>
      <c r="L22" s="31"/>
    </row>
    <row r="23" spans="1:14" s="32" customFormat="1" ht="24" customHeight="1">
      <c r="A23" s="30"/>
      <c r="B23" s="30"/>
      <c r="C23" s="8"/>
      <c r="D23" s="9"/>
      <c r="E23" s="52"/>
      <c r="F23" s="11"/>
      <c r="G23" s="12"/>
      <c r="H23" s="12"/>
      <c r="I23" s="10"/>
      <c r="J23" s="10"/>
      <c r="K23" s="29"/>
      <c r="L23" s="31"/>
    </row>
    <row r="24" spans="1:14" s="32" customFormat="1" ht="24" customHeight="1">
      <c r="A24" s="30"/>
      <c r="B24" s="30"/>
      <c r="C24" s="8"/>
      <c r="D24" s="9"/>
      <c r="E24" s="52"/>
      <c r="F24" s="11"/>
      <c r="G24" s="12"/>
      <c r="H24" s="12"/>
      <c r="I24" s="10"/>
      <c r="J24" s="10"/>
      <c r="K24" s="29"/>
      <c r="L24" s="31"/>
    </row>
    <row r="25" spans="1:14" s="32" customFormat="1" ht="24" customHeight="1">
      <c r="A25" s="30"/>
      <c r="B25" s="30"/>
      <c r="C25" s="8"/>
      <c r="D25" s="9"/>
      <c r="E25" s="53"/>
      <c r="F25" s="11"/>
      <c r="G25" s="12"/>
      <c r="H25" s="12"/>
      <c r="I25" s="10"/>
      <c r="J25" s="10"/>
      <c r="K25" s="29"/>
      <c r="L25" s="31"/>
    </row>
  </sheetData>
  <autoFilter ref="A14:M21" xr:uid="{C155F3F1-DB5D-4AC8-BEB0-4347C3A784A1}"/>
  <mergeCells count="1">
    <mergeCell ref="A12:E12"/>
  </mergeCells>
  <phoneticPr fontId="12" type="noConversion"/>
  <dataValidations disablePrompts="1" count="2">
    <dataValidation type="list" allowBlank="1" showInputMessage="1" showErrorMessage="1" sqref="G22:G54" xr:uid="{94BEB9B7-2A2F-4888-B615-FCCFE01F675B}">
      <formula1>$B$2:$B$11</formula1>
    </dataValidation>
    <dataValidation type="list" allowBlank="1" showInputMessage="1" showErrorMessage="1" sqref="C19:C25" xr:uid="{791BB25F-40D4-4B0F-97DB-C64B080E83D9}">
      <formula1>$M$15:$M$15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9FA5-D356-4CD8-AEA3-BFE551D8F20D}">
  <sheetPr>
    <pageSetUpPr fitToPage="1"/>
  </sheetPr>
  <dimension ref="A1:N42"/>
  <sheetViews>
    <sheetView topLeftCell="A21" zoomScale="70" zoomScaleNormal="70" workbookViewId="0">
      <selection activeCell="G18" sqref="G18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51.42578125" style="36" customWidth="1"/>
    <col min="5" max="5" width="60.42578125" style="54" customWidth="1"/>
    <col min="6" max="6" width="23.42578125" style="37" customWidth="1"/>
    <col min="7" max="7" width="26.1406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6384" width="9.140625" style="14"/>
  </cols>
  <sheetData>
    <row r="1" spans="1:13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3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3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3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3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3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3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3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3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3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3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3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3" s="21" customFormat="1" ht="15">
      <c r="A13" s="26"/>
      <c r="B13" s="26"/>
      <c r="C13" s="27"/>
      <c r="D13" s="28"/>
      <c r="E13" s="49"/>
      <c r="F13" s="20"/>
      <c r="L13" s="19"/>
    </row>
    <row r="14" spans="1:13" s="4" customFormat="1" ht="42" customHeight="1">
      <c r="A14" s="1" t="s">
        <v>0</v>
      </c>
      <c r="B14" s="1" t="s">
        <v>12</v>
      </c>
      <c r="C14" s="6" t="s">
        <v>30</v>
      </c>
      <c r="D14" s="15" t="s">
        <v>13</v>
      </c>
      <c r="E14" s="50" t="s">
        <v>14</v>
      </c>
      <c r="F14" s="2" t="s">
        <v>15</v>
      </c>
      <c r="G14" s="5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3" ht="45.75" customHeight="1">
      <c r="A15" s="7">
        <v>1</v>
      </c>
      <c r="B15" s="7" t="s">
        <v>25</v>
      </c>
      <c r="C15" s="8" t="s">
        <v>24</v>
      </c>
      <c r="D15" s="9" t="s">
        <v>71</v>
      </c>
      <c r="E15" s="51" t="s">
        <v>70</v>
      </c>
      <c r="F15" s="11">
        <v>2500000000</v>
      </c>
      <c r="G15" s="46" t="s">
        <v>4</v>
      </c>
      <c r="H15" s="12" t="s">
        <v>5</v>
      </c>
      <c r="I15" s="10" t="s">
        <v>21</v>
      </c>
      <c r="J15" s="10">
        <v>12</v>
      </c>
      <c r="K15" s="10"/>
      <c r="M15" s="14" t="s">
        <v>24</v>
      </c>
    </row>
    <row r="16" spans="1:13" ht="45.75" customHeight="1">
      <c r="A16" s="7">
        <f>A15+1</f>
        <v>2</v>
      </c>
      <c r="B16" s="7" t="s">
        <v>25</v>
      </c>
      <c r="C16" s="8" t="s">
        <v>63</v>
      </c>
      <c r="D16" s="9" t="s">
        <v>65</v>
      </c>
      <c r="E16" s="51" t="s">
        <v>69</v>
      </c>
      <c r="F16" s="11">
        <v>500000000</v>
      </c>
      <c r="G16" s="46" t="s">
        <v>4</v>
      </c>
      <c r="H16" s="12"/>
      <c r="I16" s="10"/>
      <c r="J16" s="10"/>
      <c r="K16" s="10"/>
    </row>
    <row r="17" spans="1:14" ht="45.75" customHeight="1">
      <c r="A17" s="7">
        <f t="shared" ref="A17:A24" si="0">A16+1</f>
        <v>3</v>
      </c>
      <c r="B17" s="7" t="s">
        <v>25</v>
      </c>
      <c r="C17" s="8" t="s">
        <v>20</v>
      </c>
      <c r="D17" s="9" t="s">
        <v>64</v>
      </c>
      <c r="E17" s="51" t="s">
        <v>68</v>
      </c>
      <c r="F17" s="11">
        <v>500000000</v>
      </c>
      <c r="G17" s="46" t="s">
        <v>4</v>
      </c>
      <c r="H17" s="12"/>
      <c r="I17" s="10"/>
      <c r="J17" s="10"/>
      <c r="K17" s="10"/>
    </row>
    <row r="18" spans="1:14" ht="45.75" customHeight="1">
      <c r="A18" s="7">
        <f t="shared" si="0"/>
        <v>4</v>
      </c>
      <c r="B18" s="7" t="s">
        <v>28</v>
      </c>
      <c r="C18" s="8" t="s">
        <v>20</v>
      </c>
      <c r="D18" s="9" t="s">
        <v>52</v>
      </c>
      <c r="E18" s="51" t="s">
        <v>82</v>
      </c>
      <c r="F18" s="11">
        <v>10969499000</v>
      </c>
      <c r="G18" s="12" t="s">
        <v>47</v>
      </c>
      <c r="H18" s="12"/>
      <c r="I18" s="10"/>
      <c r="J18" s="10"/>
      <c r="K18" s="10"/>
      <c r="M18" s="14" t="s">
        <v>20</v>
      </c>
    </row>
    <row r="19" spans="1:14" s="13" customFormat="1" ht="45.75" customHeight="1">
      <c r="A19" s="7">
        <f t="shared" si="0"/>
        <v>5</v>
      </c>
      <c r="B19" s="7" t="s">
        <v>28</v>
      </c>
      <c r="C19" s="8" t="s">
        <v>20</v>
      </c>
      <c r="D19" s="9" t="s">
        <v>74</v>
      </c>
      <c r="E19" s="51" t="s">
        <v>73</v>
      </c>
      <c r="F19" s="11">
        <v>21800000</v>
      </c>
      <c r="G19" s="12" t="s">
        <v>8</v>
      </c>
      <c r="H19" s="12"/>
      <c r="I19" s="10"/>
      <c r="J19" s="10"/>
      <c r="K19" s="10"/>
    </row>
    <row r="20" spans="1:14" s="13" customFormat="1" ht="45.75" customHeight="1">
      <c r="A20" s="7">
        <f t="shared" si="0"/>
        <v>6</v>
      </c>
      <c r="B20" s="7" t="s">
        <v>25</v>
      </c>
      <c r="C20" s="8" t="s">
        <v>24</v>
      </c>
      <c r="D20" s="9" t="s">
        <v>72</v>
      </c>
      <c r="E20" s="51" t="s">
        <v>50</v>
      </c>
      <c r="F20" s="11">
        <v>3291206162</v>
      </c>
      <c r="G20" s="12" t="s">
        <v>8</v>
      </c>
      <c r="H20" s="12"/>
      <c r="I20" s="10"/>
      <c r="J20" s="10"/>
      <c r="K20" s="10"/>
      <c r="N20" s="13">
        <v>1712992880</v>
      </c>
    </row>
    <row r="21" spans="1:14" s="13" customFormat="1" ht="45.75" customHeight="1">
      <c r="A21" s="7">
        <f t="shared" si="0"/>
        <v>7</v>
      </c>
      <c r="B21" s="7" t="s">
        <v>25</v>
      </c>
      <c r="C21" s="8" t="s">
        <v>20</v>
      </c>
      <c r="D21" s="9" t="s">
        <v>58</v>
      </c>
      <c r="E21" s="51" t="s">
        <v>77</v>
      </c>
      <c r="F21" s="11">
        <v>385029953</v>
      </c>
      <c r="G21" s="12" t="s">
        <v>8</v>
      </c>
      <c r="H21" s="12"/>
      <c r="I21" s="10"/>
      <c r="J21" s="10"/>
      <c r="K21" s="10"/>
    </row>
    <row r="22" spans="1:14" s="13" customFormat="1" ht="45.75" customHeight="1">
      <c r="A22" s="7">
        <f>A21+1</f>
        <v>8</v>
      </c>
      <c r="B22" s="7" t="s">
        <v>25</v>
      </c>
      <c r="C22" s="8" t="s">
        <v>20</v>
      </c>
      <c r="D22" s="9" t="s">
        <v>58</v>
      </c>
      <c r="E22" s="51" t="s">
        <v>78</v>
      </c>
      <c r="F22" s="11">
        <v>1507161348</v>
      </c>
      <c r="G22" s="12" t="s">
        <v>8</v>
      </c>
      <c r="H22" s="12"/>
      <c r="I22" s="10"/>
      <c r="J22" s="10"/>
      <c r="K22" s="10"/>
    </row>
    <row r="23" spans="1:14" s="13" customFormat="1" ht="45.75" customHeight="1">
      <c r="A23" s="7">
        <f t="shared" si="0"/>
        <v>9</v>
      </c>
      <c r="B23" s="7" t="s">
        <v>25</v>
      </c>
      <c r="C23" s="8" t="s">
        <v>24</v>
      </c>
      <c r="D23" s="9" t="s">
        <v>75</v>
      </c>
      <c r="E23" s="51" t="s">
        <v>76</v>
      </c>
      <c r="F23" s="11">
        <v>1712992880</v>
      </c>
      <c r="G23" s="12" t="s">
        <v>3</v>
      </c>
      <c r="H23" s="12"/>
      <c r="I23" s="10"/>
      <c r="J23" s="10"/>
      <c r="K23" s="10"/>
    </row>
    <row r="24" spans="1:14" s="13" customFormat="1" ht="45.75" customHeight="1">
      <c r="A24" s="7">
        <f t="shared" si="0"/>
        <v>10</v>
      </c>
      <c r="B24" s="7" t="s">
        <v>28</v>
      </c>
      <c r="C24" s="8" t="s">
        <v>20</v>
      </c>
      <c r="D24" s="9" t="s">
        <v>61</v>
      </c>
      <c r="E24" s="51" t="s">
        <v>66</v>
      </c>
      <c r="F24" s="11">
        <v>500000000</v>
      </c>
      <c r="G24" s="12" t="s">
        <v>3</v>
      </c>
      <c r="H24" s="12"/>
      <c r="I24" s="10"/>
      <c r="J24" s="10"/>
      <c r="K24" s="10"/>
    </row>
    <row r="25" spans="1:14" s="13" customFormat="1" ht="45.75" customHeight="1">
      <c r="A25" s="7">
        <f>A24+1</f>
        <v>11</v>
      </c>
      <c r="B25" s="7" t="s">
        <v>28</v>
      </c>
      <c r="C25" s="8" t="s">
        <v>20</v>
      </c>
      <c r="D25" s="9" t="s">
        <v>62</v>
      </c>
      <c r="E25" s="51" t="s">
        <v>67</v>
      </c>
      <c r="F25" s="11">
        <v>500000000</v>
      </c>
      <c r="G25" s="12" t="s">
        <v>3</v>
      </c>
      <c r="H25" s="12"/>
      <c r="I25" s="10"/>
      <c r="J25" s="10"/>
      <c r="K25" s="10"/>
    </row>
    <row r="26" spans="1:14" s="13" customFormat="1" ht="24" customHeight="1">
      <c r="A26" s="7"/>
      <c r="B26" s="7" t="s">
        <v>25</v>
      </c>
      <c r="C26" s="8" t="s">
        <v>20</v>
      </c>
      <c r="D26" s="9" t="s">
        <v>81</v>
      </c>
      <c r="E26" s="51" t="s">
        <v>80</v>
      </c>
      <c r="F26" s="11">
        <v>6700000000</v>
      </c>
      <c r="G26" s="51" t="s">
        <v>79</v>
      </c>
      <c r="H26" s="12"/>
      <c r="I26" s="10"/>
      <c r="J26" s="10"/>
      <c r="K26" s="10"/>
    </row>
    <row r="27" spans="1:14" s="13" customFormat="1" ht="24" customHeight="1">
      <c r="A27" s="7"/>
      <c r="B27" s="7"/>
      <c r="C27" s="8"/>
      <c r="D27" s="9"/>
      <c r="E27" s="51"/>
      <c r="F27" s="11"/>
      <c r="G27" s="12"/>
      <c r="H27" s="12"/>
      <c r="I27" s="10"/>
      <c r="J27" s="10"/>
      <c r="K27" s="10"/>
    </row>
    <row r="28" spans="1:14" s="13" customFormat="1" ht="24" customHeight="1">
      <c r="A28" s="7"/>
      <c r="B28" s="7"/>
      <c r="C28" s="8"/>
      <c r="D28" s="9"/>
      <c r="E28" s="51"/>
      <c r="F28" s="11"/>
      <c r="G28" s="12"/>
      <c r="H28" s="12"/>
      <c r="I28" s="10"/>
      <c r="J28" s="10"/>
      <c r="K28" s="10"/>
    </row>
    <row r="29" spans="1:14" s="13" customFormat="1" ht="24" customHeight="1">
      <c r="A29" s="7"/>
      <c r="B29" s="7"/>
      <c r="C29" s="8"/>
      <c r="D29" s="9"/>
      <c r="E29" s="51"/>
      <c r="F29" s="11"/>
      <c r="G29" s="12"/>
      <c r="H29" s="12"/>
      <c r="I29" s="10"/>
      <c r="J29" s="10"/>
      <c r="K29" s="10"/>
    </row>
    <row r="30" spans="1:14" s="13" customFormat="1" ht="24" customHeight="1">
      <c r="A30" s="7"/>
      <c r="B30" s="7"/>
      <c r="C30" s="8"/>
      <c r="D30" s="9"/>
      <c r="E30" s="51"/>
      <c r="F30" s="11"/>
      <c r="G30" s="12"/>
      <c r="H30" s="12"/>
      <c r="I30" s="10"/>
      <c r="J30" s="10"/>
      <c r="K30" s="10"/>
    </row>
    <row r="31" spans="1:14" s="13" customFormat="1" ht="24" customHeight="1">
      <c r="A31" s="7"/>
      <c r="B31" s="7"/>
      <c r="C31" s="8"/>
      <c r="D31" s="9"/>
      <c r="E31" s="51"/>
      <c r="F31" s="11"/>
      <c r="G31" s="12"/>
      <c r="H31" s="12"/>
      <c r="I31" s="10"/>
      <c r="J31" s="10"/>
      <c r="K31" s="10"/>
    </row>
    <row r="32" spans="1:14" s="13" customFormat="1" ht="24" customHeight="1">
      <c r="A32" s="7"/>
      <c r="B32" s="7"/>
      <c r="C32" s="8"/>
      <c r="D32" s="9"/>
      <c r="E32" s="51"/>
      <c r="F32" s="11"/>
      <c r="G32" s="12"/>
      <c r="H32" s="12"/>
      <c r="I32" s="10"/>
      <c r="J32" s="10"/>
      <c r="K32" s="10"/>
    </row>
    <row r="33" spans="1:12" s="13" customFormat="1" ht="24" customHeight="1">
      <c r="A33" s="7"/>
      <c r="B33" s="7"/>
      <c r="C33" s="8"/>
      <c r="D33" s="9"/>
      <c r="E33" s="51"/>
      <c r="F33" s="11"/>
      <c r="G33" s="12"/>
      <c r="H33" s="12"/>
      <c r="I33" s="10"/>
      <c r="J33" s="10"/>
      <c r="K33" s="10"/>
    </row>
    <row r="34" spans="1:12" s="13" customFormat="1" ht="24" customHeight="1">
      <c r="A34" s="7"/>
      <c r="B34" s="7"/>
      <c r="C34" s="8"/>
      <c r="D34" s="9"/>
      <c r="E34" s="51"/>
      <c r="F34" s="11"/>
      <c r="G34" s="12"/>
      <c r="H34" s="12"/>
      <c r="I34" s="10"/>
      <c r="J34" s="10"/>
      <c r="K34" s="10"/>
    </row>
    <row r="35" spans="1:12" s="13" customFormat="1" ht="24" customHeight="1">
      <c r="A35" s="7"/>
      <c r="B35" s="7"/>
      <c r="C35" s="8"/>
      <c r="D35" s="9"/>
      <c r="E35" s="51"/>
      <c r="F35" s="11"/>
      <c r="G35" s="12"/>
      <c r="H35" s="12"/>
      <c r="I35" s="10"/>
      <c r="J35" s="10"/>
      <c r="K35" s="10"/>
    </row>
    <row r="36" spans="1:12" ht="24" customHeight="1">
      <c r="A36" s="7"/>
      <c r="B36" s="7"/>
      <c r="C36" s="8"/>
      <c r="D36" s="9"/>
      <c r="E36" s="51"/>
      <c r="F36" s="11"/>
      <c r="G36" s="12"/>
      <c r="H36" s="12"/>
      <c r="I36" s="10"/>
      <c r="J36" s="10"/>
      <c r="K36" s="10"/>
    </row>
    <row r="37" spans="1:12" ht="24" customHeight="1">
      <c r="A37" s="7"/>
      <c r="B37" s="7"/>
      <c r="C37" s="8"/>
      <c r="D37" s="9"/>
      <c r="E37" s="52"/>
      <c r="F37" s="11"/>
      <c r="G37" s="12"/>
      <c r="H37" s="12"/>
      <c r="I37" s="10"/>
      <c r="J37" s="10"/>
      <c r="K37" s="10"/>
    </row>
    <row r="38" spans="1:12" s="32" customFormat="1" ht="24" customHeight="1">
      <c r="A38" s="7"/>
      <c r="B38" s="30"/>
      <c r="C38" s="8"/>
      <c r="D38" s="9"/>
      <c r="E38" s="52"/>
      <c r="F38" s="11"/>
      <c r="G38" s="12"/>
      <c r="H38" s="12"/>
      <c r="I38" s="10"/>
      <c r="J38" s="10"/>
      <c r="K38" s="29"/>
      <c r="L38" s="31"/>
    </row>
    <row r="39" spans="1:12" s="32" customFormat="1" ht="24" customHeight="1">
      <c r="A39" s="7"/>
      <c r="B39" s="30"/>
      <c r="C39" s="8"/>
      <c r="D39" s="9"/>
      <c r="E39" s="52"/>
      <c r="F39" s="11"/>
      <c r="G39" s="12"/>
      <c r="H39" s="12"/>
      <c r="I39" s="10"/>
      <c r="J39" s="10"/>
      <c r="K39" s="29"/>
      <c r="L39" s="31"/>
    </row>
    <row r="40" spans="1:12" s="32" customFormat="1" ht="24" customHeight="1">
      <c r="A40" s="30"/>
      <c r="B40" s="30"/>
      <c r="C40" s="8"/>
      <c r="D40" s="9"/>
      <c r="E40" s="52"/>
      <c r="F40" s="11"/>
      <c r="G40" s="12"/>
      <c r="H40" s="12"/>
      <c r="I40" s="10"/>
      <c r="J40" s="10"/>
      <c r="K40" s="29"/>
      <c r="L40" s="31"/>
    </row>
    <row r="41" spans="1:12" s="32" customFormat="1" ht="24" customHeight="1">
      <c r="A41" s="30"/>
      <c r="B41" s="30"/>
      <c r="C41" s="8"/>
      <c r="D41" s="9"/>
      <c r="E41" s="52"/>
      <c r="F41" s="11"/>
      <c r="G41" s="12"/>
      <c r="H41" s="12"/>
      <c r="I41" s="10"/>
      <c r="J41" s="10"/>
      <c r="K41" s="29"/>
      <c r="L41" s="31"/>
    </row>
    <row r="42" spans="1:12" s="32" customFormat="1" ht="24" customHeight="1">
      <c r="A42" s="30"/>
      <c r="B42" s="30"/>
      <c r="C42" s="8"/>
      <c r="D42" s="9"/>
      <c r="E42" s="53"/>
      <c r="F42" s="11"/>
      <c r="G42" s="12"/>
      <c r="H42" s="12"/>
      <c r="I42" s="10"/>
      <c r="J42" s="10"/>
      <c r="K42" s="29"/>
      <c r="L42" s="31"/>
    </row>
  </sheetData>
  <mergeCells count="1">
    <mergeCell ref="A12:E12"/>
  </mergeCells>
  <dataValidations count="2">
    <dataValidation type="list" allowBlank="1" showInputMessage="1" showErrorMessage="1" sqref="C15:C42" xr:uid="{1E342C26-5AC2-4DC0-B1BA-934D9374690C}">
      <formula1>$M$15:$M$18</formula1>
    </dataValidation>
    <dataValidation type="list" allowBlank="1" showInputMessage="1" showErrorMessage="1" sqref="G15:G17 G19:G25 G27:G71" xr:uid="{14559578-F3BB-40C3-AD13-3153F5C7678E}">
      <formula1>$B$2:$B$11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48DD-94CF-4232-8127-7BF98F163492}">
  <sheetPr>
    <pageSetUpPr fitToPage="1"/>
  </sheetPr>
  <dimension ref="A1:M35"/>
  <sheetViews>
    <sheetView topLeftCell="A18" zoomScale="70" zoomScaleNormal="70" workbookViewId="0">
      <selection activeCell="E20" sqref="E20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65.42578125" style="36" customWidth="1"/>
    <col min="5" max="5" width="60.42578125" style="54" customWidth="1"/>
    <col min="6" max="6" width="23.42578125" style="37" customWidth="1"/>
    <col min="7" max="7" width="26.1406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6384" width="9.140625" style="14"/>
  </cols>
  <sheetData>
    <row r="1" spans="1:13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3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3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3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3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3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3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3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3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3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3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3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3" s="21" customFormat="1" ht="15">
      <c r="A13" s="26"/>
      <c r="B13" s="26"/>
      <c r="C13" s="27"/>
      <c r="D13" s="28"/>
      <c r="E13" s="49"/>
      <c r="F13" s="20"/>
      <c r="L13" s="19"/>
    </row>
    <row r="14" spans="1:13" s="4" customFormat="1" ht="42" customHeight="1">
      <c r="A14" s="1" t="s">
        <v>0</v>
      </c>
      <c r="B14" s="57" t="s">
        <v>12</v>
      </c>
      <c r="C14" s="58" t="s">
        <v>30</v>
      </c>
      <c r="D14" s="59" t="s">
        <v>13</v>
      </c>
      <c r="E14" s="60" t="s">
        <v>14</v>
      </c>
      <c r="F14" s="61" t="s">
        <v>15</v>
      </c>
      <c r="G14" s="62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3" ht="48.75" customHeight="1">
      <c r="A15" s="55">
        <v>1</v>
      </c>
      <c r="B15" s="63" t="s">
        <v>102</v>
      </c>
      <c r="C15" s="63" t="s">
        <v>20</v>
      </c>
      <c r="D15" s="64" t="s">
        <v>61</v>
      </c>
      <c r="E15" s="51" t="s">
        <v>103</v>
      </c>
      <c r="F15" s="65">
        <v>939657281</v>
      </c>
      <c r="G15" s="51" t="s">
        <v>3</v>
      </c>
      <c r="H15" s="56" t="s">
        <v>5</v>
      </c>
      <c r="I15" s="10" t="s">
        <v>21</v>
      </c>
      <c r="J15" s="10">
        <v>12</v>
      </c>
      <c r="K15" s="10"/>
      <c r="M15" s="14" t="s">
        <v>24</v>
      </c>
    </row>
    <row r="16" spans="1:13" ht="48.75" customHeight="1">
      <c r="A16" s="55">
        <v>2</v>
      </c>
      <c r="B16" s="63" t="s">
        <v>102</v>
      </c>
      <c r="C16" s="63" t="s">
        <v>20</v>
      </c>
      <c r="D16" s="64" t="s">
        <v>84</v>
      </c>
      <c r="E16" s="51" t="s">
        <v>103</v>
      </c>
      <c r="F16" s="65">
        <v>939657281</v>
      </c>
      <c r="G16" s="51" t="s">
        <v>3</v>
      </c>
      <c r="H16" s="56"/>
      <c r="I16" s="10"/>
      <c r="J16" s="10"/>
      <c r="K16" s="10"/>
    </row>
    <row r="17" spans="1:12" ht="48.75" customHeight="1">
      <c r="A17" s="55">
        <v>3</v>
      </c>
      <c r="B17" s="63" t="s">
        <v>104</v>
      </c>
      <c r="C17" s="63" t="s">
        <v>92</v>
      </c>
      <c r="D17" s="64" t="s">
        <v>105</v>
      </c>
      <c r="E17" s="51" t="s">
        <v>106</v>
      </c>
      <c r="F17" s="65">
        <v>1463628000</v>
      </c>
      <c r="G17" s="51" t="s">
        <v>3</v>
      </c>
      <c r="H17" s="56"/>
      <c r="I17" s="10"/>
      <c r="J17" s="10"/>
      <c r="K17" s="10"/>
    </row>
    <row r="18" spans="1:12" s="13" customFormat="1" ht="48.75" customHeight="1">
      <c r="A18" s="55">
        <v>5</v>
      </c>
      <c r="B18" s="63" t="s">
        <v>104</v>
      </c>
      <c r="C18" s="63" t="s">
        <v>20</v>
      </c>
      <c r="D18" s="64" t="s">
        <v>112</v>
      </c>
      <c r="E18" s="51" t="s">
        <v>113</v>
      </c>
      <c r="F18" s="65">
        <v>2889385000</v>
      </c>
      <c r="G18" s="51" t="s">
        <v>6</v>
      </c>
      <c r="H18" s="56"/>
      <c r="I18" s="10"/>
      <c r="J18" s="10"/>
      <c r="K18" s="10"/>
    </row>
    <row r="19" spans="1:12" s="13" customFormat="1" ht="48.75" customHeight="1">
      <c r="A19" s="55">
        <v>6</v>
      </c>
      <c r="B19" s="63" t="s">
        <v>107</v>
      </c>
      <c r="C19" s="63" t="s">
        <v>92</v>
      </c>
      <c r="D19" s="64" t="s">
        <v>93</v>
      </c>
      <c r="E19" s="51" t="s">
        <v>108</v>
      </c>
      <c r="F19" s="65">
        <v>3291206162</v>
      </c>
      <c r="G19" s="51" t="s">
        <v>8</v>
      </c>
      <c r="H19" s="56"/>
      <c r="I19" s="10"/>
      <c r="J19" s="10"/>
      <c r="K19" s="10"/>
    </row>
    <row r="20" spans="1:12" s="13" customFormat="1" ht="48.75" customHeight="1">
      <c r="A20" s="55">
        <v>7</v>
      </c>
      <c r="B20" s="63" t="s">
        <v>107</v>
      </c>
      <c r="C20" s="63" t="s">
        <v>20</v>
      </c>
      <c r="D20" s="64" t="s">
        <v>57</v>
      </c>
      <c r="E20" s="51" t="s">
        <v>109</v>
      </c>
      <c r="F20" s="65">
        <v>2592102045</v>
      </c>
      <c r="G20" s="51" t="s">
        <v>8</v>
      </c>
      <c r="H20" s="56"/>
      <c r="I20" s="10"/>
      <c r="J20" s="10"/>
      <c r="K20" s="10"/>
    </row>
    <row r="21" spans="1:12" s="13" customFormat="1" ht="48.75" customHeight="1">
      <c r="A21" s="55">
        <v>8</v>
      </c>
      <c r="B21" s="63" t="s">
        <v>107</v>
      </c>
      <c r="C21" s="63" t="s">
        <v>20</v>
      </c>
      <c r="D21" s="64" t="s">
        <v>58</v>
      </c>
      <c r="E21" s="51" t="s">
        <v>110</v>
      </c>
      <c r="F21" s="65">
        <v>1153925489</v>
      </c>
      <c r="G21" s="51" t="s">
        <v>8</v>
      </c>
      <c r="H21" s="56"/>
      <c r="I21" s="10"/>
      <c r="J21" s="10"/>
      <c r="K21" s="10"/>
    </row>
    <row r="22" spans="1:12" s="13" customFormat="1" ht="48.75" customHeight="1">
      <c r="A22" s="55">
        <v>9</v>
      </c>
      <c r="B22" s="63" t="s">
        <v>107</v>
      </c>
      <c r="C22" s="63" t="s">
        <v>92</v>
      </c>
      <c r="D22" s="64" t="s">
        <v>93</v>
      </c>
      <c r="E22" s="51" t="s">
        <v>111</v>
      </c>
      <c r="F22" s="65">
        <v>4845787840</v>
      </c>
      <c r="G22" s="51" t="s">
        <v>8</v>
      </c>
      <c r="H22" s="56"/>
      <c r="I22" s="10"/>
      <c r="J22" s="10"/>
      <c r="K22" s="10"/>
    </row>
    <row r="23" spans="1:12" s="13" customFormat="1" ht="48.75" customHeight="1">
      <c r="A23" s="55">
        <v>10</v>
      </c>
      <c r="B23" s="7" t="s">
        <v>85</v>
      </c>
      <c r="C23" s="8" t="s">
        <v>20</v>
      </c>
      <c r="D23" s="9" t="s">
        <v>86</v>
      </c>
      <c r="E23" s="51" t="s">
        <v>97</v>
      </c>
      <c r="F23" s="11">
        <v>17880518000</v>
      </c>
      <c r="G23" s="12" t="s">
        <v>87</v>
      </c>
      <c r="H23" s="12"/>
      <c r="I23" s="10"/>
      <c r="J23" s="10"/>
      <c r="K23" s="10"/>
    </row>
    <row r="24" spans="1:12" s="13" customFormat="1" ht="48.75" customHeight="1">
      <c r="A24" s="55">
        <v>11</v>
      </c>
      <c r="B24" s="7" t="s">
        <v>85</v>
      </c>
      <c r="C24" s="8" t="s">
        <v>20</v>
      </c>
      <c r="D24" s="9" t="s">
        <v>88</v>
      </c>
      <c r="E24" s="51" t="s">
        <v>98</v>
      </c>
      <c r="F24" s="11">
        <v>3220914000</v>
      </c>
      <c r="G24" s="12" t="s">
        <v>87</v>
      </c>
      <c r="H24" s="12"/>
      <c r="I24" s="10"/>
      <c r="J24" s="10"/>
      <c r="K24" s="10"/>
    </row>
    <row r="25" spans="1:12" s="13" customFormat="1" ht="48.75" customHeight="1">
      <c r="A25" s="55">
        <v>12</v>
      </c>
      <c r="B25" s="7" t="s">
        <v>85</v>
      </c>
      <c r="C25" s="8" t="s">
        <v>20</v>
      </c>
      <c r="D25" s="9" t="s">
        <v>89</v>
      </c>
      <c r="E25" s="51" t="s">
        <v>99</v>
      </c>
      <c r="F25" s="11">
        <v>6998508000</v>
      </c>
      <c r="G25" s="12" t="s">
        <v>87</v>
      </c>
      <c r="H25" s="12"/>
      <c r="I25" s="10"/>
      <c r="J25" s="10"/>
      <c r="K25" s="10"/>
    </row>
    <row r="26" spans="1:12" s="13" customFormat="1" ht="48.75" customHeight="1">
      <c r="A26" s="55">
        <v>13</v>
      </c>
      <c r="B26" s="7" t="s">
        <v>85</v>
      </c>
      <c r="C26" s="8" t="s">
        <v>24</v>
      </c>
      <c r="D26" s="9" t="s">
        <v>114</v>
      </c>
      <c r="E26" s="51" t="s">
        <v>115</v>
      </c>
      <c r="F26" s="11">
        <v>6165687000</v>
      </c>
      <c r="G26" s="12" t="s">
        <v>116</v>
      </c>
      <c r="H26" s="12"/>
      <c r="I26" s="10"/>
      <c r="J26" s="10"/>
      <c r="K26" s="10"/>
    </row>
    <row r="27" spans="1:12" s="13" customFormat="1" ht="48.75" customHeight="1">
      <c r="A27" s="55">
        <v>14</v>
      </c>
      <c r="B27" s="7" t="s">
        <v>85</v>
      </c>
      <c r="C27" s="8" t="s">
        <v>20</v>
      </c>
      <c r="D27" s="9" t="s">
        <v>117</v>
      </c>
      <c r="E27" s="51" t="s">
        <v>118</v>
      </c>
      <c r="F27" s="11">
        <v>5972583600</v>
      </c>
      <c r="G27" s="12" t="s">
        <v>116</v>
      </c>
      <c r="H27" s="12"/>
      <c r="I27" s="10"/>
      <c r="J27" s="10"/>
      <c r="K27" s="10"/>
    </row>
    <row r="28" spans="1:12" s="13" customFormat="1" ht="48.75" customHeight="1">
      <c r="A28" s="7"/>
      <c r="B28" s="7"/>
      <c r="C28" s="8"/>
      <c r="D28" s="9"/>
      <c r="E28" s="51"/>
      <c r="F28" s="11"/>
      <c r="G28" s="12"/>
      <c r="H28" s="12"/>
      <c r="I28" s="10"/>
      <c r="J28" s="10"/>
      <c r="K28" s="10"/>
    </row>
    <row r="29" spans="1:12" ht="48.75" customHeight="1">
      <c r="A29" s="7"/>
      <c r="B29" s="7"/>
      <c r="C29" s="8"/>
      <c r="D29" s="9"/>
      <c r="E29" s="51"/>
      <c r="F29" s="11"/>
      <c r="G29" s="12"/>
      <c r="H29" s="12"/>
      <c r="I29" s="10"/>
      <c r="J29" s="10"/>
      <c r="K29" s="10"/>
    </row>
    <row r="30" spans="1:12" ht="24" customHeight="1">
      <c r="A30" s="7"/>
      <c r="B30" s="7"/>
      <c r="C30" s="8"/>
      <c r="D30" s="9"/>
      <c r="E30" s="52"/>
      <c r="F30" s="11"/>
      <c r="G30" s="12"/>
      <c r="H30" s="12"/>
      <c r="I30" s="10"/>
      <c r="J30" s="10"/>
      <c r="K30" s="10"/>
    </row>
    <row r="31" spans="1:12" s="32" customFormat="1" ht="24" customHeight="1">
      <c r="A31" s="7"/>
      <c r="B31" s="30"/>
      <c r="C31" s="8"/>
      <c r="D31" s="9"/>
      <c r="E31" s="52"/>
      <c r="F31" s="11"/>
      <c r="G31" s="12"/>
      <c r="H31" s="12"/>
      <c r="I31" s="10"/>
      <c r="J31" s="10"/>
      <c r="K31" s="29"/>
      <c r="L31" s="31"/>
    </row>
    <row r="32" spans="1:12" s="32" customFormat="1" ht="24" customHeight="1">
      <c r="A32" s="7"/>
      <c r="B32" s="30"/>
      <c r="C32" s="8"/>
      <c r="D32" s="9"/>
      <c r="E32" s="52"/>
      <c r="F32" s="11"/>
      <c r="G32" s="12"/>
      <c r="H32" s="12"/>
      <c r="I32" s="10"/>
      <c r="J32" s="10"/>
      <c r="K32" s="29"/>
      <c r="L32" s="31"/>
    </row>
    <row r="33" spans="1:12" s="32" customFormat="1" ht="24" customHeight="1">
      <c r="A33" s="30"/>
      <c r="B33" s="30"/>
      <c r="C33" s="8"/>
      <c r="D33" s="9"/>
      <c r="E33" s="52"/>
      <c r="F33" s="11"/>
      <c r="G33" s="12"/>
      <c r="H33" s="12"/>
      <c r="I33" s="10"/>
      <c r="J33" s="10"/>
      <c r="K33" s="29"/>
      <c r="L33" s="31"/>
    </row>
    <row r="34" spans="1:12" s="32" customFormat="1" ht="24" customHeight="1">
      <c r="A34" s="30"/>
      <c r="B34" s="30"/>
      <c r="C34" s="8"/>
      <c r="D34" s="9"/>
      <c r="E34" s="52"/>
      <c r="F34" s="11"/>
      <c r="G34" s="12"/>
      <c r="H34" s="12"/>
      <c r="I34" s="10"/>
      <c r="J34" s="10"/>
      <c r="K34" s="29"/>
      <c r="L34" s="31"/>
    </row>
    <row r="35" spans="1:12" s="32" customFormat="1" ht="24" customHeight="1">
      <c r="A35" s="30"/>
      <c r="B35" s="30"/>
      <c r="C35" s="8"/>
      <c r="D35" s="9"/>
      <c r="E35" s="53"/>
      <c r="F35" s="11"/>
      <c r="G35" s="12"/>
      <c r="H35" s="12"/>
      <c r="I35" s="10"/>
      <c r="J35" s="10"/>
      <c r="K35" s="29"/>
      <c r="L35" s="31"/>
    </row>
  </sheetData>
  <mergeCells count="1">
    <mergeCell ref="A12:E12"/>
  </mergeCells>
  <phoneticPr fontId="12" type="noConversion"/>
  <dataValidations count="2">
    <dataValidation type="list" allowBlank="1" showInputMessage="1" showErrorMessage="1" sqref="C23:C35" xr:uid="{E62CAD91-B853-4776-8504-C9A106759618}">
      <formula1>$M$15:$M$17</formula1>
    </dataValidation>
    <dataValidation type="list" allowBlank="1" showInputMessage="1" showErrorMessage="1" sqref="G30:G64 G23:G25 G28" xr:uid="{87EFAAA3-2ECC-46D8-8939-A9F7E2776191}">
      <formula1>$B$2:$B$11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4927-EDA9-4F07-BDBE-67BC232E7F32}">
  <sheetPr>
    <pageSetUpPr fitToPage="1"/>
  </sheetPr>
  <dimension ref="A1:M36"/>
  <sheetViews>
    <sheetView topLeftCell="A24" zoomScale="70" zoomScaleNormal="70" workbookViewId="0">
      <selection activeCell="G18" sqref="G18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65.42578125" style="36" customWidth="1"/>
    <col min="5" max="5" width="60.42578125" style="54" customWidth="1"/>
    <col min="6" max="6" width="23.42578125" style="37" customWidth="1"/>
    <col min="7" max="7" width="26.1406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6384" width="9.140625" style="14"/>
  </cols>
  <sheetData>
    <row r="1" spans="1:13" s="21" customFormat="1" ht="15" hidden="1">
      <c r="A1" s="16" t="s">
        <v>0</v>
      </c>
      <c r="B1" s="17" t="s">
        <v>1</v>
      </c>
      <c r="C1" s="17"/>
      <c r="D1" s="18"/>
      <c r="E1" s="47"/>
      <c r="F1" s="20"/>
      <c r="L1" s="19"/>
    </row>
    <row r="2" spans="1:13" s="21" customFormat="1" ht="15" hidden="1">
      <c r="A2" s="22">
        <v>1</v>
      </c>
      <c r="B2" s="23" t="s">
        <v>2</v>
      </c>
      <c r="C2" s="23"/>
      <c r="D2" s="18"/>
      <c r="E2" s="47"/>
      <c r="F2" s="20"/>
      <c r="L2" s="19"/>
    </row>
    <row r="3" spans="1:13" s="21" customFormat="1" ht="15" hidden="1">
      <c r="A3" s="22">
        <v>2</v>
      </c>
      <c r="B3" s="23" t="s">
        <v>3</v>
      </c>
      <c r="C3" s="23"/>
      <c r="D3" s="18"/>
      <c r="E3" s="47"/>
      <c r="F3" s="20"/>
      <c r="L3" s="19"/>
    </row>
    <row r="4" spans="1:13" s="21" customFormat="1" ht="15" hidden="1">
      <c r="A4" s="22">
        <v>3</v>
      </c>
      <c r="B4" s="23" t="s">
        <v>4</v>
      </c>
      <c r="C4" s="23"/>
      <c r="D4" s="18"/>
      <c r="E4" s="48"/>
      <c r="F4" s="20"/>
      <c r="L4" s="19"/>
    </row>
    <row r="5" spans="1:13" s="21" customFormat="1" ht="15" hidden="1">
      <c r="A5" s="22">
        <v>4</v>
      </c>
      <c r="B5" s="23" t="s">
        <v>5</v>
      </c>
      <c r="C5" s="23"/>
      <c r="D5" s="18"/>
      <c r="E5" s="47"/>
      <c r="F5" s="20"/>
      <c r="L5" s="19"/>
    </row>
    <row r="6" spans="1:13" s="21" customFormat="1" ht="15" hidden="1">
      <c r="A6" s="22">
        <v>5</v>
      </c>
      <c r="B6" s="23" t="s">
        <v>6</v>
      </c>
      <c r="C6" s="23"/>
      <c r="D6" s="18"/>
      <c r="E6" s="47"/>
      <c r="F6" s="20"/>
      <c r="L6" s="19"/>
    </row>
    <row r="7" spans="1:13" s="21" customFormat="1" ht="15" hidden="1">
      <c r="A7" s="22">
        <v>6</v>
      </c>
      <c r="B7" s="23" t="s">
        <v>7</v>
      </c>
      <c r="C7" s="23"/>
      <c r="D7" s="18"/>
      <c r="E7" s="47"/>
      <c r="F7" s="20"/>
      <c r="L7" s="19"/>
    </row>
    <row r="8" spans="1:13" s="21" customFormat="1" ht="15" hidden="1">
      <c r="A8" s="22">
        <v>7</v>
      </c>
      <c r="B8" s="23" t="s">
        <v>8</v>
      </c>
      <c r="C8" s="23"/>
      <c r="D8" s="18"/>
      <c r="E8" s="47"/>
      <c r="F8" s="20"/>
      <c r="L8" s="19"/>
    </row>
    <row r="9" spans="1:13" s="21" customFormat="1" ht="15" hidden="1">
      <c r="A9" s="22">
        <v>8</v>
      </c>
      <c r="B9" s="23" t="s">
        <v>9</v>
      </c>
      <c r="C9" s="23"/>
      <c r="D9" s="18"/>
      <c r="E9" s="47"/>
      <c r="F9" s="20"/>
      <c r="L9" s="19"/>
    </row>
    <row r="10" spans="1:13" s="21" customFormat="1" ht="15" hidden="1">
      <c r="A10" s="22">
        <v>9</v>
      </c>
      <c r="B10" s="25" t="s">
        <v>10</v>
      </c>
      <c r="C10" s="25"/>
      <c r="D10" s="18"/>
      <c r="E10" s="49"/>
      <c r="F10" s="20"/>
      <c r="L10" s="19"/>
    </row>
    <row r="11" spans="1:13" s="21" customFormat="1" ht="15" hidden="1">
      <c r="A11" s="22">
        <v>10</v>
      </c>
      <c r="B11" s="25" t="s">
        <v>11</v>
      </c>
      <c r="C11" s="25"/>
      <c r="D11" s="18"/>
      <c r="E11" s="49"/>
      <c r="F11" s="20"/>
      <c r="L11" s="19"/>
    </row>
    <row r="12" spans="1:13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3" s="21" customFormat="1" ht="15">
      <c r="A13" s="26"/>
      <c r="B13" s="26"/>
      <c r="C13" s="27"/>
      <c r="D13" s="28"/>
      <c r="E13" s="49"/>
      <c r="F13" s="20"/>
      <c r="L13" s="19"/>
    </row>
    <row r="14" spans="1:13" s="4" customFormat="1" ht="42" customHeight="1">
      <c r="A14" s="1" t="s">
        <v>0</v>
      </c>
      <c r="B14" s="1" t="s">
        <v>12</v>
      </c>
      <c r="C14" s="6" t="s">
        <v>30</v>
      </c>
      <c r="D14" s="15" t="s">
        <v>13</v>
      </c>
      <c r="E14" s="50" t="s">
        <v>14</v>
      </c>
      <c r="F14" s="2" t="s">
        <v>15</v>
      </c>
      <c r="G14" s="5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3" ht="48.75" customHeight="1">
      <c r="A15" s="7">
        <v>1</v>
      </c>
      <c r="B15" s="7" t="s">
        <v>25</v>
      </c>
      <c r="C15" s="8" t="s">
        <v>24</v>
      </c>
      <c r="D15" s="9" t="s">
        <v>71</v>
      </c>
      <c r="E15" s="51" t="s">
        <v>70</v>
      </c>
      <c r="F15" s="11">
        <v>2500000000</v>
      </c>
      <c r="G15" s="46" t="s">
        <v>4</v>
      </c>
      <c r="H15" s="12" t="s">
        <v>5</v>
      </c>
      <c r="I15" s="10" t="s">
        <v>21</v>
      </c>
      <c r="J15" s="10">
        <v>12</v>
      </c>
      <c r="K15" s="10"/>
      <c r="M15" s="14" t="s">
        <v>24</v>
      </c>
    </row>
    <row r="16" spans="1:13" ht="48.75" customHeight="1">
      <c r="A16" s="7">
        <v>2</v>
      </c>
      <c r="B16" s="7" t="s">
        <v>25</v>
      </c>
      <c r="C16" s="8" t="s">
        <v>63</v>
      </c>
      <c r="D16" s="9" t="s">
        <v>65</v>
      </c>
      <c r="E16" s="51" t="s">
        <v>69</v>
      </c>
      <c r="F16" s="11">
        <v>500000000</v>
      </c>
      <c r="G16" s="46" t="s">
        <v>4</v>
      </c>
      <c r="H16" s="12"/>
      <c r="I16" s="10"/>
      <c r="J16" s="10"/>
      <c r="K16" s="10"/>
    </row>
    <row r="17" spans="1:12" ht="48.75" customHeight="1">
      <c r="A17" s="7">
        <v>3</v>
      </c>
      <c r="B17" s="7" t="s">
        <v>25</v>
      </c>
      <c r="C17" s="8" t="s">
        <v>20</v>
      </c>
      <c r="D17" s="9" t="s">
        <v>64</v>
      </c>
      <c r="E17" s="51" t="s">
        <v>68</v>
      </c>
      <c r="F17" s="11">
        <v>500000000</v>
      </c>
      <c r="G17" s="46" t="s">
        <v>4</v>
      </c>
      <c r="H17" s="12"/>
      <c r="I17" s="10"/>
      <c r="J17" s="10"/>
      <c r="K17" s="10"/>
    </row>
    <row r="18" spans="1:12" s="13" customFormat="1" ht="48.75" customHeight="1">
      <c r="A18" s="7">
        <v>16</v>
      </c>
      <c r="B18" s="7" t="s">
        <v>25</v>
      </c>
      <c r="C18" s="8" t="s">
        <v>20</v>
      </c>
      <c r="D18" s="9" t="s">
        <v>101</v>
      </c>
      <c r="E18" s="51" t="s">
        <v>100</v>
      </c>
      <c r="F18" s="11">
        <v>137000000</v>
      </c>
      <c r="G18" s="12" t="s">
        <v>47</v>
      </c>
      <c r="H18" s="12"/>
      <c r="I18" s="10"/>
      <c r="J18" s="10"/>
      <c r="K18" s="10"/>
    </row>
    <row r="19" spans="1:12" s="13" customFormat="1" ht="48.75" customHeight="1">
      <c r="A19" s="7">
        <v>7</v>
      </c>
      <c r="B19" s="7" t="s">
        <v>25</v>
      </c>
      <c r="C19" s="8" t="s">
        <v>24</v>
      </c>
      <c r="D19" s="9" t="s">
        <v>75</v>
      </c>
      <c r="E19" s="51" t="s">
        <v>76</v>
      </c>
      <c r="F19" s="11">
        <v>1712992880</v>
      </c>
      <c r="G19" s="12" t="s">
        <v>3</v>
      </c>
      <c r="H19" s="12"/>
      <c r="I19" s="10"/>
      <c r="J19" s="10"/>
      <c r="K19" s="10"/>
    </row>
    <row r="20" spans="1:12" s="13" customFormat="1" ht="48.75" customHeight="1">
      <c r="A20" s="7">
        <v>8</v>
      </c>
      <c r="B20" s="7" t="s">
        <v>28</v>
      </c>
      <c r="C20" s="8" t="s">
        <v>20</v>
      </c>
      <c r="D20" s="9" t="s">
        <v>61</v>
      </c>
      <c r="E20" s="51" t="s">
        <v>83</v>
      </c>
      <c r="F20" s="11">
        <v>828060296</v>
      </c>
      <c r="G20" s="12" t="s">
        <v>3</v>
      </c>
      <c r="H20" s="12"/>
      <c r="I20" s="10"/>
      <c r="J20" s="10"/>
      <c r="K20" s="10"/>
    </row>
    <row r="21" spans="1:12" s="13" customFormat="1" ht="48.75" customHeight="1">
      <c r="A21" s="7">
        <v>9</v>
      </c>
      <c r="B21" s="7" t="s">
        <v>28</v>
      </c>
      <c r="C21" s="8" t="s">
        <v>20</v>
      </c>
      <c r="D21" s="9" t="s">
        <v>84</v>
      </c>
      <c r="E21" s="51" t="s">
        <v>83</v>
      </c>
      <c r="F21" s="11">
        <v>828060296</v>
      </c>
      <c r="G21" s="12" t="s">
        <v>3</v>
      </c>
      <c r="H21" s="12"/>
      <c r="I21" s="10"/>
      <c r="J21" s="10"/>
      <c r="K21" s="10"/>
    </row>
    <row r="22" spans="1:12" s="13" customFormat="1" ht="48.75" customHeight="1">
      <c r="A22" s="7">
        <v>15</v>
      </c>
      <c r="B22" s="7" t="s">
        <v>28</v>
      </c>
      <c r="C22" s="8" t="s">
        <v>92</v>
      </c>
      <c r="D22" s="9" t="s">
        <v>94</v>
      </c>
      <c r="E22" s="51" t="s">
        <v>95</v>
      </c>
      <c r="F22" s="11">
        <v>5294428000</v>
      </c>
      <c r="G22" s="12" t="s">
        <v>6</v>
      </c>
      <c r="H22" s="12"/>
      <c r="I22" s="10"/>
      <c r="J22" s="10"/>
      <c r="K22" s="10"/>
    </row>
    <row r="23" spans="1:12" s="13" customFormat="1" ht="48.75" customHeight="1">
      <c r="A23" s="7">
        <v>10</v>
      </c>
      <c r="B23" s="7" t="s">
        <v>85</v>
      </c>
      <c r="C23" s="8" t="s">
        <v>20</v>
      </c>
      <c r="D23" s="9" t="s">
        <v>86</v>
      </c>
      <c r="E23" s="51" t="s">
        <v>97</v>
      </c>
      <c r="F23" s="11">
        <v>16875687000</v>
      </c>
      <c r="G23" s="12" t="s">
        <v>87</v>
      </c>
      <c r="H23" s="12"/>
      <c r="I23" s="10"/>
      <c r="J23" s="10"/>
      <c r="K23" s="10"/>
    </row>
    <row r="24" spans="1:12" s="13" customFormat="1" ht="48.75" customHeight="1">
      <c r="A24" s="7">
        <v>11</v>
      </c>
      <c r="B24" s="7" t="s">
        <v>85</v>
      </c>
      <c r="C24" s="8" t="s">
        <v>20</v>
      </c>
      <c r="D24" s="9" t="s">
        <v>88</v>
      </c>
      <c r="E24" s="51" t="s">
        <v>98</v>
      </c>
      <c r="F24" s="11">
        <v>2000000000</v>
      </c>
      <c r="G24" s="12" t="s">
        <v>87</v>
      </c>
      <c r="H24" s="12"/>
      <c r="I24" s="10"/>
      <c r="J24" s="10"/>
      <c r="K24" s="10"/>
    </row>
    <row r="25" spans="1:12" s="13" customFormat="1" ht="48.75" customHeight="1">
      <c r="A25" s="7">
        <v>12</v>
      </c>
      <c r="B25" s="7" t="s">
        <v>85</v>
      </c>
      <c r="C25" s="8" t="s">
        <v>20</v>
      </c>
      <c r="D25" s="9" t="s">
        <v>89</v>
      </c>
      <c r="E25" s="51" t="s">
        <v>99</v>
      </c>
      <c r="F25" s="11">
        <v>6275188464</v>
      </c>
      <c r="G25" s="12" t="s">
        <v>87</v>
      </c>
      <c r="H25" s="12"/>
      <c r="I25" s="10"/>
      <c r="J25" s="10"/>
      <c r="K25" s="10"/>
    </row>
    <row r="26" spans="1:12" s="13" customFormat="1" ht="48.75" customHeight="1">
      <c r="A26" s="7">
        <v>13</v>
      </c>
      <c r="B26" s="7" t="s">
        <v>85</v>
      </c>
      <c r="C26" s="8" t="s">
        <v>20</v>
      </c>
      <c r="D26" s="9" t="s">
        <v>90</v>
      </c>
      <c r="E26" s="51" t="s">
        <v>96</v>
      </c>
      <c r="F26" s="11">
        <v>6280783863</v>
      </c>
      <c r="G26" s="12" t="s">
        <v>91</v>
      </c>
      <c r="H26" s="12"/>
      <c r="I26" s="10"/>
      <c r="J26" s="10"/>
      <c r="K26" s="10"/>
    </row>
    <row r="27" spans="1:12" s="13" customFormat="1" ht="48.75" customHeight="1">
      <c r="A27" s="7">
        <v>4</v>
      </c>
      <c r="B27" s="7" t="s">
        <v>25</v>
      </c>
      <c r="C27" s="8" t="s">
        <v>24</v>
      </c>
      <c r="D27" s="9" t="s">
        <v>72</v>
      </c>
      <c r="E27" s="51" t="s">
        <v>50</v>
      </c>
      <c r="F27" s="11">
        <v>3291206162</v>
      </c>
      <c r="G27" s="12" t="s">
        <v>8</v>
      </c>
      <c r="H27" s="12"/>
      <c r="I27" s="10"/>
      <c r="J27" s="10"/>
      <c r="K27" s="10"/>
    </row>
    <row r="28" spans="1:12" s="13" customFormat="1" ht="48.75" customHeight="1">
      <c r="A28" s="7">
        <v>5</v>
      </c>
      <c r="B28" s="7" t="s">
        <v>25</v>
      </c>
      <c r="C28" s="8" t="s">
        <v>20</v>
      </c>
      <c r="D28" s="9" t="s">
        <v>58</v>
      </c>
      <c r="E28" s="51" t="s">
        <v>77</v>
      </c>
      <c r="F28" s="11">
        <v>385029953</v>
      </c>
      <c r="G28" s="12" t="s">
        <v>8</v>
      </c>
      <c r="H28" s="12"/>
      <c r="I28" s="10"/>
      <c r="J28" s="10"/>
      <c r="K28" s="10"/>
    </row>
    <row r="29" spans="1:12" s="13" customFormat="1" ht="48.75" customHeight="1">
      <c r="A29" s="7">
        <v>6</v>
      </c>
      <c r="B29" s="7" t="s">
        <v>25</v>
      </c>
      <c r="C29" s="8" t="s">
        <v>20</v>
      </c>
      <c r="D29" s="9" t="s">
        <v>58</v>
      </c>
      <c r="E29" s="51" t="s">
        <v>78</v>
      </c>
      <c r="F29" s="11">
        <v>1507161348</v>
      </c>
      <c r="G29" s="12" t="s">
        <v>8</v>
      </c>
      <c r="H29" s="12"/>
      <c r="I29" s="10"/>
      <c r="J29" s="10"/>
      <c r="K29" s="10"/>
    </row>
    <row r="30" spans="1:12" ht="48.75" customHeight="1">
      <c r="A30" s="7">
        <v>14</v>
      </c>
      <c r="B30" s="7" t="s">
        <v>25</v>
      </c>
      <c r="C30" s="8" t="s">
        <v>92</v>
      </c>
      <c r="D30" s="9" t="s">
        <v>93</v>
      </c>
      <c r="E30" s="51" t="s">
        <v>50</v>
      </c>
      <c r="F30" s="11">
        <v>3291206162</v>
      </c>
      <c r="G30" s="12" t="s">
        <v>8</v>
      </c>
      <c r="H30" s="12"/>
      <c r="I30" s="10"/>
      <c r="J30" s="10"/>
      <c r="K30" s="10"/>
    </row>
    <row r="31" spans="1:12" ht="24" customHeight="1">
      <c r="A31" s="7"/>
      <c r="B31" s="7"/>
      <c r="C31" s="8"/>
      <c r="D31" s="9"/>
      <c r="E31" s="52"/>
      <c r="F31" s="11"/>
      <c r="G31" s="12"/>
      <c r="H31" s="12"/>
      <c r="I31" s="10"/>
      <c r="J31" s="10"/>
      <c r="K31" s="10"/>
    </row>
    <row r="32" spans="1:12" s="32" customFormat="1" ht="24" customHeight="1">
      <c r="A32" s="7"/>
      <c r="B32" s="30"/>
      <c r="C32" s="8"/>
      <c r="D32" s="9"/>
      <c r="E32" s="52"/>
      <c r="F32" s="11"/>
      <c r="G32" s="12"/>
      <c r="H32" s="12"/>
      <c r="I32" s="10"/>
      <c r="J32" s="10"/>
      <c r="K32" s="29"/>
      <c r="L32" s="31"/>
    </row>
    <row r="33" spans="1:12" s="32" customFormat="1" ht="24" customHeight="1">
      <c r="A33" s="7"/>
      <c r="B33" s="30"/>
      <c r="C33" s="8"/>
      <c r="D33" s="9"/>
      <c r="E33" s="52"/>
      <c r="F33" s="11"/>
      <c r="G33" s="12"/>
      <c r="H33" s="12"/>
      <c r="I33" s="10"/>
      <c r="J33" s="10"/>
      <c r="K33" s="29"/>
      <c r="L33" s="31"/>
    </row>
    <row r="34" spans="1:12" s="32" customFormat="1" ht="24" customHeight="1">
      <c r="A34" s="30"/>
      <c r="B34" s="30"/>
      <c r="C34" s="8"/>
      <c r="D34" s="9"/>
      <c r="E34" s="52"/>
      <c r="F34" s="11"/>
      <c r="G34" s="12"/>
      <c r="H34" s="12"/>
      <c r="I34" s="10"/>
      <c r="J34" s="10"/>
      <c r="K34" s="29"/>
      <c r="L34" s="31"/>
    </row>
    <row r="35" spans="1:12" s="32" customFormat="1" ht="24" customHeight="1">
      <c r="A35" s="30"/>
      <c r="B35" s="30"/>
      <c r="C35" s="8"/>
      <c r="D35" s="9"/>
      <c r="E35" s="52"/>
      <c r="F35" s="11"/>
      <c r="G35" s="12"/>
      <c r="H35" s="12"/>
      <c r="I35" s="10"/>
      <c r="J35" s="10"/>
      <c r="K35" s="29"/>
      <c r="L35" s="31"/>
    </row>
    <row r="36" spans="1:12" s="32" customFormat="1" ht="24" customHeight="1">
      <c r="A36" s="30"/>
      <c r="B36" s="30"/>
      <c r="C36" s="8"/>
      <c r="D36" s="9"/>
      <c r="E36" s="53"/>
      <c r="F36" s="11"/>
      <c r="G36" s="12"/>
      <c r="H36" s="12"/>
      <c r="I36" s="10"/>
      <c r="J36" s="10"/>
      <c r="K36" s="29"/>
      <c r="L36" s="31"/>
    </row>
  </sheetData>
  <sortState ref="A15:K30">
    <sortCondition ref="G14:G30"/>
  </sortState>
  <mergeCells count="1">
    <mergeCell ref="A12:E12"/>
  </mergeCells>
  <dataValidations count="2">
    <dataValidation type="list" allowBlank="1" showInputMessage="1" showErrorMessage="1" sqref="G15:G29 G31:G65" xr:uid="{F769196C-2908-4331-832A-3B1D88DF2BB2}">
      <formula1>$B$2:$B$11</formula1>
    </dataValidation>
    <dataValidation type="list" allowBlank="1" showInputMessage="1" showErrorMessage="1" sqref="C15:C36" xr:uid="{073D99C7-A65D-4EF7-9F78-11C09C88DC6D}">
      <formula1>$M$15:$M$17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5413-1E0E-41CB-854F-8E1E9BE21C83}">
  <sheetPr>
    <pageSetUpPr fitToPage="1"/>
  </sheetPr>
  <dimension ref="A1:M41"/>
  <sheetViews>
    <sheetView topLeftCell="A15" zoomScale="85" zoomScaleNormal="85" workbookViewId="0">
      <selection activeCell="G18" sqref="G18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48" style="36" customWidth="1"/>
    <col min="5" max="5" width="60.42578125" style="14" customWidth="1"/>
    <col min="6" max="6" width="23.42578125" style="37" customWidth="1"/>
    <col min="7" max="7" width="26.1406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6384" width="9.140625" style="14"/>
  </cols>
  <sheetData>
    <row r="1" spans="1:13" s="21" customFormat="1" ht="15" hidden="1">
      <c r="A1" s="16" t="s">
        <v>0</v>
      </c>
      <c r="B1" s="17" t="s">
        <v>1</v>
      </c>
      <c r="C1" s="17"/>
      <c r="D1" s="18"/>
      <c r="E1" s="19"/>
      <c r="F1" s="20"/>
      <c r="L1" s="19"/>
    </row>
    <row r="2" spans="1:13" s="21" customFormat="1" ht="15" hidden="1">
      <c r="A2" s="22">
        <v>1</v>
      </c>
      <c r="B2" s="23" t="s">
        <v>2</v>
      </c>
      <c r="C2" s="23"/>
      <c r="D2" s="18"/>
      <c r="E2" s="19"/>
      <c r="F2" s="20"/>
      <c r="L2" s="19"/>
    </row>
    <row r="3" spans="1:13" s="21" customFormat="1" ht="15" hidden="1">
      <c r="A3" s="22">
        <v>2</v>
      </c>
      <c r="B3" s="23" t="s">
        <v>3</v>
      </c>
      <c r="C3" s="23"/>
      <c r="D3" s="18"/>
      <c r="E3" s="19"/>
      <c r="F3" s="20"/>
      <c r="L3" s="19"/>
    </row>
    <row r="4" spans="1:13" s="21" customFormat="1" ht="15" hidden="1">
      <c r="A4" s="22">
        <v>3</v>
      </c>
      <c r="B4" s="23" t="s">
        <v>4</v>
      </c>
      <c r="C4" s="23"/>
      <c r="D4" s="18"/>
      <c r="E4" s="24"/>
      <c r="F4" s="20"/>
      <c r="L4" s="19"/>
    </row>
    <row r="5" spans="1:13" s="21" customFormat="1" ht="15" hidden="1">
      <c r="A5" s="22">
        <v>4</v>
      </c>
      <c r="B5" s="23" t="s">
        <v>5</v>
      </c>
      <c r="C5" s="23"/>
      <c r="D5" s="18"/>
      <c r="E5" s="19"/>
      <c r="F5" s="20"/>
      <c r="L5" s="19"/>
    </row>
    <row r="6" spans="1:13" s="21" customFormat="1" ht="15" hidden="1">
      <c r="A6" s="22">
        <v>5</v>
      </c>
      <c r="B6" s="23" t="s">
        <v>6</v>
      </c>
      <c r="C6" s="23"/>
      <c r="D6" s="18"/>
      <c r="E6" s="19"/>
      <c r="F6" s="20"/>
      <c r="L6" s="19"/>
    </row>
    <row r="7" spans="1:13" s="21" customFormat="1" ht="15" hidden="1">
      <c r="A7" s="22">
        <v>6</v>
      </c>
      <c r="B7" s="23" t="s">
        <v>7</v>
      </c>
      <c r="C7" s="23"/>
      <c r="D7" s="18"/>
      <c r="E7" s="19"/>
      <c r="F7" s="20"/>
      <c r="L7" s="19"/>
    </row>
    <row r="8" spans="1:13" s="21" customFormat="1" ht="15" hidden="1">
      <c r="A8" s="22">
        <v>7</v>
      </c>
      <c r="B8" s="23" t="s">
        <v>8</v>
      </c>
      <c r="C8" s="23"/>
      <c r="D8" s="18"/>
      <c r="E8" s="19"/>
      <c r="F8" s="20"/>
      <c r="L8" s="19"/>
    </row>
    <row r="9" spans="1:13" s="21" customFormat="1" ht="15" hidden="1">
      <c r="A9" s="22">
        <v>8</v>
      </c>
      <c r="B9" s="23" t="s">
        <v>9</v>
      </c>
      <c r="C9" s="23"/>
      <c r="D9" s="18"/>
      <c r="E9" s="19"/>
      <c r="F9" s="20"/>
      <c r="L9" s="19"/>
    </row>
    <row r="10" spans="1:13" s="21" customFormat="1" ht="15" hidden="1">
      <c r="A10" s="22">
        <v>9</v>
      </c>
      <c r="B10" s="25" t="s">
        <v>10</v>
      </c>
      <c r="C10" s="25"/>
      <c r="D10" s="18"/>
      <c r="F10" s="20"/>
      <c r="L10" s="19"/>
    </row>
    <row r="11" spans="1:13" s="21" customFormat="1" ht="15" hidden="1">
      <c r="A11" s="22">
        <v>10</v>
      </c>
      <c r="B11" s="25" t="s">
        <v>11</v>
      </c>
      <c r="C11" s="25"/>
      <c r="D11" s="18"/>
      <c r="F11" s="20"/>
      <c r="L11" s="19"/>
    </row>
    <row r="12" spans="1:13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3" s="21" customFormat="1" ht="15">
      <c r="A13" s="26"/>
      <c r="B13" s="26"/>
      <c r="C13" s="27"/>
      <c r="D13" s="28"/>
      <c r="F13" s="20"/>
      <c r="L13" s="19"/>
    </row>
    <row r="14" spans="1:13" s="4" customFormat="1" ht="42" customHeight="1">
      <c r="A14" s="1" t="s">
        <v>0</v>
      </c>
      <c r="B14" s="1" t="s">
        <v>12</v>
      </c>
      <c r="C14" s="6" t="s">
        <v>30</v>
      </c>
      <c r="D14" s="15" t="s">
        <v>13</v>
      </c>
      <c r="E14" s="1" t="s">
        <v>14</v>
      </c>
      <c r="F14" s="2" t="s">
        <v>15</v>
      </c>
      <c r="G14" s="5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3" ht="36.75" customHeight="1">
      <c r="A15" s="7">
        <v>1</v>
      </c>
      <c r="B15" s="7" t="s">
        <v>25</v>
      </c>
      <c r="C15" s="8" t="s">
        <v>24</v>
      </c>
      <c r="D15" s="9" t="s">
        <v>36</v>
      </c>
      <c r="E15" s="10" t="s">
        <v>50</v>
      </c>
      <c r="F15" s="11">
        <v>3291206162</v>
      </c>
      <c r="G15" s="12" t="s">
        <v>8</v>
      </c>
      <c r="H15" s="12" t="s">
        <v>5</v>
      </c>
      <c r="I15" s="10" t="s">
        <v>21</v>
      </c>
      <c r="J15" s="10">
        <v>12</v>
      </c>
      <c r="K15" s="10"/>
      <c r="M15" s="14" t="s">
        <v>24</v>
      </c>
    </row>
    <row r="16" spans="1:13" ht="36.75" customHeight="1">
      <c r="A16" s="7">
        <v>2</v>
      </c>
      <c r="B16" s="7" t="s">
        <v>28</v>
      </c>
      <c r="C16" s="8" t="s">
        <v>20</v>
      </c>
      <c r="D16" s="9" t="s">
        <v>35</v>
      </c>
      <c r="E16" s="10" t="s">
        <v>29</v>
      </c>
      <c r="F16" s="11">
        <v>30000000</v>
      </c>
      <c r="G16" s="12" t="s">
        <v>8</v>
      </c>
      <c r="H16" s="12"/>
      <c r="I16" s="10"/>
      <c r="J16" s="10"/>
      <c r="K16" s="10"/>
      <c r="M16" s="14" t="s">
        <v>20</v>
      </c>
    </row>
    <row r="17" spans="1:11" s="13" customFormat="1" ht="36.75" customHeight="1">
      <c r="A17" s="7">
        <v>3</v>
      </c>
      <c r="B17" s="7" t="s">
        <v>28</v>
      </c>
      <c r="C17" s="8" t="s">
        <v>20</v>
      </c>
      <c r="D17" s="9" t="s">
        <v>28</v>
      </c>
      <c r="E17" s="10" t="s">
        <v>51</v>
      </c>
      <c r="F17" s="11">
        <v>10000000</v>
      </c>
      <c r="G17" s="12" t="s">
        <v>3</v>
      </c>
      <c r="H17" s="12"/>
      <c r="I17" s="10"/>
      <c r="J17" s="10"/>
      <c r="K17" s="10"/>
    </row>
    <row r="18" spans="1:11" s="13" customFormat="1" ht="36.75" customHeight="1">
      <c r="A18" s="7">
        <v>4</v>
      </c>
      <c r="B18" s="7" t="s">
        <v>25</v>
      </c>
      <c r="C18" s="8" t="s">
        <v>20</v>
      </c>
      <c r="D18" s="9" t="s">
        <v>52</v>
      </c>
      <c r="E18" s="10" t="s">
        <v>54</v>
      </c>
      <c r="F18" s="11">
        <v>10969499000</v>
      </c>
      <c r="G18" s="12" t="s">
        <v>47</v>
      </c>
      <c r="H18" s="12"/>
      <c r="I18" s="10"/>
      <c r="J18" s="10"/>
      <c r="K18" s="10"/>
    </row>
    <row r="19" spans="1:11" s="13" customFormat="1" ht="36.75" customHeight="1">
      <c r="A19" s="7">
        <v>5</v>
      </c>
      <c r="B19" s="7" t="s">
        <v>25</v>
      </c>
      <c r="C19" s="8" t="s">
        <v>20</v>
      </c>
      <c r="D19" s="9" t="s">
        <v>52</v>
      </c>
      <c r="E19" s="10" t="s">
        <v>54</v>
      </c>
      <c r="F19" s="11">
        <v>10720172000</v>
      </c>
      <c r="G19" s="12" t="s">
        <v>47</v>
      </c>
      <c r="H19" s="12"/>
      <c r="I19" s="10"/>
      <c r="J19" s="10"/>
      <c r="K19" s="10"/>
    </row>
    <row r="20" spans="1:11" s="13" customFormat="1" ht="36.75" customHeight="1">
      <c r="A20" s="7">
        <v>6</v>
      </c>
      <c r="B20" s="7" t="s">
        <v>25</v>
      </c>
      <c r="C20" s="8" t="s">
        <v>20</v>
      </c>
      <c r="D20" s="9" t="s">
        <v>53</v>
      </c>
      <c r="E20" s="10" t="s">
        <v>54</v>
      </c>
      <c r="F20" s="11">
        <v>2600000000</v>
      </c>
      <c r="G20" s="12" t="s">
        <v>47</v>
      </c>
      <c r="H20" s="12"/>
      <c r="I20" s="10"/>
      <c r="J20" s="10"/>
      <c r="K20" s="10"/>
    </row>
    <row r="21" spans="1:11" s="13" customFormat="1">
      <c r="A21" s="7"/>
      <c r="B21" s="7"/>
      <c r="C21" s="8" t="s">
        <v>20</v>
      </c>
      <c r="D21" s="9" t="s">
        <v>55</v>
      </c>
      <c r="E21" s="10" t="s">
        <v>56</v>
      </c>
      <c r="F21" s="11">
        <v>50000000</v>
      </c>
      <c r="G21" s="12" t="s">
        <v>8</v>
      </c>
      <c r="H21" s="12"/>
      <c r="I21" s="10"/>
      <c r="J21" s="10"/>
      <c r="K21" s="10"/>
    </row>
    <row r="22" spans="1:11" s="13" customFormat="1">
      <c r="A22" s="7"/>
      <c r="B22" s="7"/>
      <c r="C22" s="8" t="s">
        <v>20</v>
      </c>
      <c r="D22" s="9" t="s">
        <v>57</v>
      </c>
      <c r="E22" s="10" t="s">
        <v>59</v>
      </c>
      <c r="F22" s="11">
        <v>500000000</v>
      </c>
      <c r="G22" s="12" t="s">
        <v>8</v>
      </c>
      <c r="H22" s="12"/>
      <c r="I22" s="10"/>
      <c r="J22" s="10"/>
      <c r="K22" s="10"/>
    </row>
    <row r="23" spans="1:11" s="13" customFormat="1">
      <c r="A23" s="7"/>
      <c r="B23" s="7"/>
      <c r="C23" s="8" t="s">
        <v>20</v>
      </c>
      <c r="D23" s="9" t="s">
        <v>58</v>
      </c>
      <c r="E23" s="10" t="s">
        <v>59</v>
      </c>
      <c r="F23" s="11">
        <v>1141000000</v>
      </c>
      <c r="G23" s="12" t="s">
        <v>8</v>
      </c>
      <c r="H23" s="12"/>
      <c r="I23" s="10"/>
      <c r="J23" s="10"/>
      <c r="K23" s="10"/>
    </row>
    <row r="24" spans="1:11" s="13" customFormat="1">
      <c r="A24" s="7"/>
      <c r="B24" s="7"/>
      <c r="C24" s="8" t="s">
        <v>24</v>
      </c>
      <c r="D24" s="9" t="s">
        <v>36</v>
      </c>
      <c r="E24" s="10" t="s">
        <v>60</v>
      </c>
      <c r="F24" s="11"/>
      <c r="G24" s="12"/>
      <c r="H24" s="12"/>
      <c r="I24" s="10"/>
      <c r="J24" s="10"/>
      <c r="K24" s="10"/>
    </row>
    <row r="25" spans="1:11" s="13" customFormat="1">
      <c r="A25" s="7"/>
      <c r="B25" s="7"/>
      <c r="C25" s="8"/>
      <c r="D25" s="9"/>
      <c r="E25" s="10"/>
      <c r="F25" s="11"/>
      <c r="G25" s="12"/>
      <c r="H25" s="12"/>
      <c r="I25" s="10"/>
      <c r="J25" s="10"/>
      <c r="K25" s="10"/>
    </row>
    <row r="26" spans="1:11" s="13" customFormat="1">
      <c r="A26" s="7"/>
      <c r="B26" s="7"/>
      <c r="C26" s="8"/>
      <c r="D26" s="9"/>
      <c r="E26" s="10"/>
      <c r="F26" s="11"/>
      <c r="G26" s="12"/>
      <c r="H26" s="12"/>
      <c r="I26" s="10"/>
      <c r="J26" s="10"/>
      <c r="K26" s="10"/>
    </row>
    <row r="27" spans="1:11" s="13" customFormat="1">
      <c r="A27" s="7"/>
      <c r="B27" s="7"/>
      <c r="C27" s="8"/>
      <c r="D27" s="9"/>
      <c r="E27" s="10"/>
      <c r="F27" s="11"/>
      <c r="G27" s="12"/>
      <c r="H27" s="12"/>
      <c r="I27" s="10"/>
      <c r="J27" s="10"/>
      <c r="K27" s="10"/>
    </row>
    <row r="28" spans="1:11" s="13" customFormat="1">
      <c r="A28" s="7"/>
      <c r="B28" s="7"/>
      <c r="C28" s="8"/>
      <c r="D28" s="9"/>
      <c r="E28" s="10"/>
      <c r="F28" s="11"/>
      <c r="G28" s="12"/>
      <c r="H28" s="12"/>
      <c r="I28" s="10"/>
      <c r="J28" s="10"/>
      <c r="K28" s="10"/>
    </row>
    <row r="29" spans="1:11" s="13" customFormat="1">
      <c r="A29" s="7"/>
      <c r="B29" s="7"/>
      <c r="C29" s="8"/>
      <c r="D29" s="9"/>
      <c r="E29" s="10"/>
      <c r="F29" s="11"/>
      <c r="G29" s="12"/>
      <c r="H29" s="12"/>
      <c r="I29" s="10"/>
      <c r="J29" s="10"/>
      <c r="K29" s="10"/>
    </row>
    <row r="30" spans="1:11" s="13" customFormat="1">
      <c r="A30" s="7"/>
      <c r="B30" s="7"/>
      <c r="C30" s="8"/>
      <c r="D30" s="9"/>
      <c r="E30" s="10"/>
      <c r="F30" s="11"/>
      <c r="G30" s="12"/>
      <c r="H30" s="12"/>
      <c r="I30" s="10"/>
      <c r="J30" s="10"/>
      <c r="K30" s="10"/>
    </row>
    <row r="31" spans="1:11" s="13" customFormat="1">
      <c r="A31" s="7"/>
      <c r="B31" s="7"/>
      <c r="C31" s="8"/>
      <c r="D31" s="9"/>
      <c r="E31" s="10"/>
      <c r="F31" s="11"/>
      <c r="G31" s="12"/>
      <c r="H31" s="12"/>
      <c r="I31" s="10"/>
      <c r="J31" s="10"/>
      <c r="K31" s="10"/>
    </row>
    <row r="32" spans="1:11" s="13" customFormat="1">
      <c r="A32" s="7"/>
      <c r="B32" s="7"/>
      <c r="C32" s="8"/>
      <c r="D32" s="9"/>
      <c r="E32" s="10"/>
      <c r="F32" s="11"/>
      <c r="G32" s="12"/>
      <c r="H32" s="12"/>
      <c r="I32" s="10"/>
      <c r="J32" s="10"/>
      <c r="K32" s="10"/>
    </row>
    <row r="33" spans="1:12" s="13" customFormat="1">
      <c r="A33" s="7"/>
      <c r="B33" s="7"/>
      <c r="C33" s="8"/>
      <c r="D33" s="9"/>
      <c r="E33" s="10"/>
      <c r="F33" s="11"/>
      <c r="G33" s="12"/>
      <c r="H33" s="12"/>
      <c r="I33" s="10"/>
      <c r="J33" s="10"/>
      <c r="K33" s="10"/>
    </row>
    <row r="34" spans="1:12" s="13" customFormat="1">
      <c r="A34" s="7"/>
      <c r="B34" s="7"/>
      <c r="C34" s="8"/>
      <c r="D34" s="9"/>
      <c r="E34" s="10"/>
      <c r="F34" s="11"/>
      <c r="G34" s="12"/>
      <c r="H34" s="12"/>
      <c r="I34" s="10"/>
      <c r="J34" s="10"/>
      <c r="K34" s="10"/>
    </row>
    <row r="35" spans="1:12">
      <c r="A35" s="7"/>
      <c r="B35" s="7"/>
      <c r="C35" s="8"/>
      <c r="D35" s="9"/>
      <c r="E35" s="10"/>
      <c r="F35" s="11"/>
      <c r="G35" s="12"/>
      <c r="H35" s="12"/>
      <c r="I35" s="10"/>
      <c r="J35" s="10"/>
      <c r="K35" s="10"/>
    </row>
    <row r="36" spans="1:12">
      <c r="A36" s="7"/>
      <c r="B36" s="7"/>
      <c r="C36" s="8"/>
      <c r="D36" s="9"/>
      <c r="E36" s="29"/>
      <c r="F36" s="11"/>
      <c r="G36" s="12"/>
      <c r="H36" s="12"/>
      <c r="I36" s="10"/>
      <c r="J36" s="10"/>
      <c r="K36" s="10"/>
    </row>
    <row r="37" spans="1:12" s="32" customFormat="1">
      <c r="A37" s="7"/>
      <c r="B37" s="30"/>
      <c r="C37" s="8"/>
      <c r="D37" s="9"/>
      <c r="E37" s="29"/>
      <c r="F37" s="11"/>
      <c r="G37" s="12"/>
      <c r="H37" s="12"/>
      <c r="I37" s="10"/>
      <c r="J37" s="10"/>
      <c r="K37" s="29"/>
      <c r="L37" s="31"/>
    </row>
    <row r="38" spans="1:12" s="32" customFormat="1">
      <c r="A38" s="7"/>
      <c r="B38" s="30"/>
      <c r="C38" s="8"/>
      <c r="D38" s="9"/>
      <c r="E38" s="29"/>
      <c r="F38" s="11"/>
      <c r="G38" s="12"/>
      <c r="H38" s="12"/>
      <c r="I38" s="10"/>
      <c r="J38" s="10"/>
      <c r="K38" s="29"/>
      <c r="L38" s="31"/>
    </row>
    <row r="39" spans="1:12" s="32" customFormat="1">
      <c r="A39" s="30"/>
      <c r="B39" s="30"/>
      <c r="C39" s="8"/>
      <c r="D39" s="9"/>
      <c r="E39" s="29"/>
      <c r="F39" s="11"/>
      <c r="G39" s="12"/>
      <c r="H39" s="12"/>
      <c r="I39" s="10"/>
      <c r="J39" s="10"/>
      <c r="K39" s="29"/>
      <c r="L39" s="31"/>
    </row>
    <row r="40" spans="1:12" s="32" customFormat="1">
      <c r="A40" s="30"/>
      <c r="B40" s="30"/>
      <c r="C40" s="8"/>
      <c r="D40" s="9"/>
      <c r="E40" s="29"/>
      <c r="F40" s="11"/>
      <c r="G40" s="12"/>
      <c r="H40" s="12"/>
      <c r="I40" s="10"/>
      <c r="J40" s="10"/>
      <c r="K40" s="29"/>
      <c r="L40" s="31"/>
    </row>
    <row r="41" spans="1:12" s="32" customFormat="1">
      <c r="A41" s="30"/>
      <c r="B41" s="30"/>
      <c r="C41" s="8"/>
      <c r="D41" s="9"/>
      <c r="E41" s="33"/>
      <c r="F41" s="11"/>
      <c r="G41" s="12"/>
      <c r="H41" s="12"/>
      <c r="I41" s="10"/>
      <c r="J41" s="10"/>
      <c r="K41" s="29"/>
      <c r="L41" s="31"/>
    </row>
  </sheetData>
  <mergeCells count="1">
    <mergeCell ref="A12:E12"/>
  </mergeCells>
  <dataValidations count="2">
    <dataValidation type="list" allowBlank="1" showInputMessage="1" showErrorMessage="1" sqref="G15:G17 G21:G70" xr:uid="{270EDBCE-41F1-4AAB-B41B-C5BE411CAA7A}">
      <formula1>$B$2:$B$11</formula1>
    </dataValidation>
    <dataValidation type="list" allowBlank="1" showInputMessage="1" showErrorMessage="1" sqref="C15:C41" xr:uid="{B7E21FC3-11C7-4714-A725-CE5EFD637743}">
      <formula1>$M$15:$M$16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C3E7-13AE-48DD-95CA-F70B718C1486}">
  <dimension ref="A1:N43"/>
  <sheetViews>
    <sheetView topLeftCell="A12" zoomScale="55" zoomScaleNormal="55" workbookViewId="0">
      <selection activeCell="E24" sqref="E24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48" style="36" customWidth="1"/>
    <col min="5" max="5" width="60.42578125" style="14" customWidth="1"/>
    <col min="6" max="6" width="36.42578125" style="14" customWidth="1"/>
    <col min="7" max="7" width="23.42578125" style="37" customWidth="1"/>
    <col min="8" max="8" width="26.140625" style="14" customWidth="1"/>
    <col min="9" max="9" width="23.42578125" style="14" hidden="1" customWidth="1"/>
    <col min="10" max="11" width="7.85546875" style="14" hidden="1" customWidth="1"/>
    <col min="12" max="12" width="12.140625" style="14" hidden="1" customWidth="1"/>
    <col min="13" max="13" width="9.140625" style="13"/>
    <col min="14" max="14" width="0" style="14" hidden="1" customWidth="1"/>
    <col min="15" max="16384" width="9.140625" style="14"/>
  </cols>
  <sheetData>
    <row r="1" spans="1:14" s="21" customFormat="1" ht="15" hidden="1">
      <c r="A1" s="16" t="s">
        <v>0</v>
      </c>
      <c r="B1" s="17" t="s">
        <v>1</v>
      </c>
      <c r="C1" s="17"/>
      <c r="D1" s="18"/>
      <c r="E1" s="19"/>
      <c r="F1" s="19"/>
      <c r="G1" s="20"/>
      <c r="M1" s="19"/>
    </row>
    <row r="2" spans="1:14" s="21" customFormat="1" ht="15" hidden="1">
      <c r="A2" s="22">
        <v>1</v>
      </c>
      <c r="B2" s="23" t="s">
        <v>2</v>
      </c>
      <c r="C2" s="23"/>
      <c r="D2" s="18"/>
      <c r="E2" s="19"/>
      <c r="F2" s="19"/>
      <c r="G2" s="20"/>
      <c r="M2" s="19"/>
    </row>
    <row r="3" spans="1:14" s="21" customFormat="1" ht="15" hidden="1">
      <c r="A3" s="22">
        <v>2</v>
      </c>
      <c r="B3" s="23" t="s">
        <v>3</v>
      </c>
      <c r="C3" s="23"/>
      <c r="D3" s="18"/>
      <c r="E3" s="19"/>
      <c r="F3" s="19"/>
      <c r="G3" s="20"/>
      <c r="M3" s="19"/>
    </row>
    <row r="4" spans="1:14" s="21" customFormat="1" ht="15" hidden="1">
      <c r="A4" s="22">
        <v>3</v>
      </c>
      <c r="B4" s="23" t="s">
        <v>4</v>
      </c>
      <c r="C4" s="23"/>
      <c r="D4" s="18"/>
      <c r="E4" s="24"/>
      <c r="F4" s="24"/>
      <c r="G4" s="20"/>
      <c r="M4" s="19"/>
    </row>
    <row r="5" spans="1:14" s="21" customFormat="1" ht="15" hidden="1">
      <c r="A5" s="22">
        <v>4</v>
      </c>
      <c r="B5" s="23" t="s">
        <v>5</v>
      </c>
      <c r="C5" s="23"/>
      <c r="D5" s="18"/>
      <c r="E5" s="19"/>
      <c r="F5" s="19"/>
      <c r="G5" s="20"/>
      <c r="M5" s="19"/>
    </row>
    <row r="6" spans="1:14" s="21" customFormat="1" ht="15" hidden="1">
      <c r="A6" s="22">
        <v>5</v>
      </c>
      <c r="B6" s="23" t="s">
        <v>6</v>
      </c>
      <c r="C6" s="23"/>
      <c r="D6" s="18"/>
      <c r="E6" s="19"/>
      <c r="F6" s="19"/>
      <c r="G6" s="20"/>
      <c r="M6" s="19"/>
    </row>
    <row r="7" spans="1:14" s="21" customFormat="1" ht="15" hidden="1">
      <c r="A7" s="22">
        <v>6</v>
      </c>
      <c r="B7" s="23" t="s">
        <v>7</v>
      </c>
      <c r="C7" s="23"/>
      <c r="D7" s="18"/>
      <c r="E7" s="19"/>
      <c r="F7" s="19"/>
      <c r="G7" s="20"/>
      <c r="M7" s="19"/>
    </row>
    <row r="8" spans="1:14" s="21" customFormat="1" ht="15" hidden="1">
      <c r="A8" s="22">
        <v>7</v>
      </c>
      <c r="B8" s="23" t="s">
        <v>8</v>
      </c>
      <c r="C8" s="23"/>
      <c r="D8" s="18"/>
      <c r="E8" s="19"/>
      <c r="F8" s="19"/>
      <c r="G8" s="20"/>
      <c r="M8" s="19"/>
    </row>
    <row r="9" spans="1:14" s="21" customFormat="1" ht="15" hidden="1">
      <c r="A9" s="22">
        <v>8</v>
      </c>
      <c r="B9" s="23" t="s">
        <v>9</v>
      </c>
      <c r="C9" s="23"/>
      <c r="D9" s="18"/>
      <c r="E9" s="19"/>
      <c r="F9" s="19"/>
      <c r="G9" s="20"/>
      <c r="M9" s="19"/>
    </row>
    <row r="10" spans="1:14" s="21" customFormat="1" ht="15" hidden="1">
      <c r="A10" s="22">
        <v>9</v>
      </c>
      <c r="B10" s="25" t="s">
        <v>10</v>
      </c>
      <c r="C10" s="25"/>
      <c r="D10" s="18"/>
      <c r="G10" s="20"/>
      <c r="M10" s="19"/>
    </row>
    <row r="11" spans="1:14" s="21" customFormat="1" ht="15" hidden="1">
      <c r="A11" s="22">
        <v>10</v>
      </c>
      <c r="B11" s="25" t="s">
        <v>11</v>
      </c>
      <c r="C11" s="25"/>
      <c r="D11" s="18"/>
      <c r="G11" s="20"/>
      <c r="M11" s="19"/>
    </row>
    <row r="12" spans="1:14" s="21" customFormat="1" ht="49.5" customHeight="1">
      <c r="A12" s="107" t="s">
        <v>22</v>
      </c>
      <c r="B12" s="107"/>
      <c r="C12" s="107"/>
      <c r="D12" s="107"/>
      <c r="E12" s="107"/>
      <c r="F12" s="38"/>
      <c r="G12" s="20"/>
      <c r="M12" s="19"/>
    </row>
    <row r="13" spans="1:14" s="21" customFormat="1" ht="15">
      <c r="A13" s="26"/>
      <c r="B13" s="26"/>
      <c r="C13" s="27"/>
      <c r="D13" s="28"/>
      <c r="G13" s="20"/>
      <c r="M13" s="19"/>
    </row>
    <row r="14" spans="1:14" s="4" customFormat="1" ht="42" customHeight="1">
      <c r="A14" s="1" t="s">
        <v>0</v>
      </c>
      <c r="B14" s="1" t="s">
        <v>12</v>
      </c>
      <c r="C14" s="6" t="s">
        <v>30</v>
      </c>
      <c r="D14" s="15" t="s">
        <v>13</v>
      </c>
      <c r="E14" s="1" t="s">
        <v>14</v>
      </c>
      <c r="F14" s="108" t="s">
        <v>15</v>
      </c>
      <c r="G14" s="109"/>
      <c r="H14" s="5" t="s">
        <v>23</v>
      </c>
      <c r="I14" s="1" t="s">
        <v>16</v>
      </c>
      <c r="J14" s="1" t="s">
        <v>17</v>
      </c>
      <c r="K14" s="1" t="s">
        <v>18</v>
      </c>
      <c r="L14" s="3" t="s">
        <v>19</v>
      </c>
    </row>
    <row r="15" spans="1:14" s="4" customFormat="1" ht="42" customHeight="1">
      <c r="A15" s="1"/>
      <c r="B15" s="1"/>
      <c r="C15" s="6"/>
      <c r="D15" s="15"/>
      <c r="E15" s="1"/>
      <c r="F15" s="1" t="s">
        <v>48</v>
      </c>
      <c r="G15" s="2" t="s">
        <v>49</v>
      </c>
      <c r="H15" s="5"/>
      <c r="I15" s="1"/>
      <c r="J15" s="1"/>
      <c r="K15" s="1"/>
      <c r="L15" s="3"/>
    </row>
    <row r="16" spans="1:14" ht="36.75" customHeight="1">
      <c r="A16" s="7">
        <v>1</v>
      </c>
      <c r="B16" s="7" t="s">
        <v>25</v>
      </c>
      <c r="C16" s="8" t="s">
        <v>20</v>
      </c>
      <c r="D16" s="9" t="s">
        <v>26</v>
      </c>
      <c r="E16" s="10" t="s">
        <v>27</v>
      </c>
      <c r="F16" s="39"/>
      <c r="G16" s="40">
        <v>84499825</v>
      </c>
      <c r="H16" s="12" t="s">
        <v>5</v>
      </c>
      <c r="I16" s="12" t="s">
        <v>5</v>
      </c>
      <c r="J16" s="10" t="s">
        <v>21</v>
      </c>
      <c r="K16" s="10">
        <v>12</v>
      </c>
      <c r="L16" s="10"/>
      <c r="N16" s="14" t="s">
        <v>24</v>
      </c>
    </row>
    <row r="17" spans="1:14" ht="36.75" customHeight="1">
      <c r="A17" s="7">
        <v>2</v>
      </c>
      <c r="B17" s="7" t="s">
        <v>28</v>
      </c>
      <c r="C17" s="8" t="s">
        <v>20</v>
      </c>
      <c r="D17" s="12" t="s">
        <v>28</v>
      </c>
      <c r="E17" s="10" t="s">
        <v>38</v>
      </c>
      <c r="F17" s="41"/>
      <c r="G17" s="42">
        <v>11500000</v>
      </c>
      <c r="H17" s="12" t="s">
        <v>8</v>
      </c>
      <c r="I17" s="12"/>
      <c r="J17" s="10"/>
      <c r="K17" s="10"/>
      <c r="L17" s="10"/>
      <c r="N17" s="14" t="s">
        <v>20</v>
      </c>
    </row>
    <row r="18" spans="1:14" ht="36.75" customHeight="1">
      <c r="A18" s="7">
        <v>3</v>
      </c>
      <c r="B18" s="7" t="s">
        <v>25</v>
      </c>
      <c r="C18" s="8" t="s">
        <v>20</v>
      </c>
      <c r="D18" s="9" t="s">
        <v>31</v>
      </c>
      <c r="E18" s="10" t="s">
        <v>32</v>
      </c>
      <c r="F18" s="41"/>
      <c r="G18" s="42">
        <v>500000000</v>
      </c>
      <c r="H18" s="12" t="s">
        <v>8</v>
      </c>
      <c r="I18" s="12"/>
      <c r="J18" s="10"/>
      <c r="K18" s="10"/>
      <c r="L18" s="10"/>
    </row>
    <row r="19" spans="1:14" s="13" customFormat="1" ht="36.75" customHeight="1">
      <c r="A19" s="7">
        <v>4</v>
      </c>
      <c r="B19" s="7" t="s">
        <v>28</v>
      </c>
      <c r="C19" s="8" t="s">
        <v>20</v>
      </c>
      <c r="D19" s="12" t="s">
        <v>28</v>
      </c>
      <c r="E19" s="10" t="s">
        <v>38</v>
      </c>
      <c r="F19" s="41"/>
      <c r="G19" s="42">
        <v>10000000</v>
      </c>
      <c r="H19" s="12" t="s">
        <v>3</v>
      </c>
      <c r="I19" s="12"/>
      <c r="J19" s="10"/>
      <c r="K19" s="10"/>
      <c r="L19" s="10"/>
    </row>
    <row r="20" spans="1:14" s="13" customFormat="1" ht="36.75" customHeight="1">
      <c r="A20" s="7">
        <v>5</v>
      </c>
      <c r="B20" s="7" t="s">
        <v>25</v>
      </c>
      <c r="C20" s="8" t="s">
        <v>24</v>
      </c>
      <c r="D20" s="9" t="s">
        <v>36</v>
      </c>
      <c r="E20" s="10" t="s">
        <v>37</v>
      </c>
      <c r="F20" s="42">
        <v>20892359000</v>
      </c>
      <c r="G20" s="43"/>
      <c r="H20" s="12" t="s">
        <v>6</v>
      </c>
      <c r="I20" s="12"/>
      <c r="J20" s="10"/>
      <c r="K20" s="10"/>
      <c r="L20" s="10"/>
    </row>
    <row r="21" spans="1:14" s="13" customFormat="1" ht="36.75" customHeight="1">
      <c r="A21" s="7">
        <v>6</v>
      </c>
      <c r="B21" s="7" t="s">
        <v>25</v>
      </c>
      <c r="C21" s="8" t="s">
        <v>20</v>
      </c>
      <c r="D21" s="9" t="s">
        <v>33</v>
      </c>
      <c r="E21" s="10" t="s">
        <v>34</v>
      </c>
      <c r="F21" s="41"/>
      <c r="G21" s="42">
        <v>10446817000</v>
      </c>
      <c r="H21" s="12" t="s">
        <v>6</v>
      </c>
      <c r="I21" s="12"/>
      <c r="J21" s="10"/>
      <c r="K21" s="10"/>
      <c r="L21" s="10"/>
    </row>
    <row r="22" spans="1:14" s="13" customFormat="1" ht="36.75" customHeight="1">
      <c r="A22" s="7">
        <v>7</v>
      </c>
      <c r="B22" s="7" t="s">
        <v>25</v>
      </c>
      <c r="C22" s="8" t="s">
        <v>20</v>
      </c>
      <c r="D22" s="9" t="s">
        <v>41</v>
      </c>
      <c r="E22" s="10" t="s">
        <v>42</v>
      </c>
      <c r="F22" s="41"/>
      <c r="G22" s="42">
        <v>5533759328</v>
      </c>
      <c r="H22" s="12" t="s">
        <v>6</v>
      </c>
      <c r="I22" s="12"/>
      <c r="J22" s="10"/>
      <c r="K22" s="10"/>
      <c r="L22" s="10"/>
    </row>
    <row r="23" spans="1:14" s="13" customFormat="1">
      <c r="A23" s="7">
        <v>8</v>
      </c>
      <c r="B23" s="7" t="s">
        <v>25</v>
      </c>
      <c r="C23" s="8" t="s">
        <v>24</v>
      </c>
      <c r="D23" s="9" t="s">
        <v>36</v>
      </c>
      <c r="E23" s="10" t="s">
        <v>39</v>
      </c>
      <c r="F23" s="42">
        <v>31866227000</v>
      </c>
      <c r="G23" s="43"/>
      <c r="H23" s="12" t="s">
        <v>40</v>
      </c>
      <c r="I23" s="12"/>
      <c r="J23" s="10"/>
      <c r="K23" s="10"/>
      <c r="L23" s="10"/>
    </row>
    <row r="24" spans="1:14" s="13" customFormat="1">
      <c r="A24" s="7">
        <v>8</v>
      </c>
      <c r="B24" s="7" t="s">
        <v>25</v>
      </c>
      <c r="C24" s="8" t="s">
        <v>24</v>
      </c>
      <c r="D24" s="9" t="s">
        <v>36</v>
      </c>
      <c r="E24" s="10" t="s">
        <v>39</v>
      </c>
      <c r="F24" s="44">
        <v>27551942000</v>
      </c>
      <c r="G24" s="45"/>
      <c r="H24" s="12" t="s">
        <v>47</v>
      </c>
      <c r="I24" s="12"/>
      <c r="J24" s="10"/>
      <c r="K24" s="10"/>
      <c r="L24" s="10"/>
    </row>
    <row r="25" spans="1:14" s="13" customFormat="1">
      <c r="A25" s="7"/>
      <c r="B25" s="7"/>
      <c r="C25" s="8"/>
      <c r="D25" s="9"/>
      <c r="E25" s="10"/>
      <c r="F25" s="10"/>
      <c r="G25" s="11"/>
      <c r="H25" s="12"/>
      <c r="I25" s="12"/>
      <c r="J25" s="10"/>
      <c r="K25" s="10"/>
      <c r="L25" s="10"/>
    </row>
    <row r="26" spans="1:14" s="13" customFormat="1">
      <c r="A26" s="7"/>
      <c r="B26" s="7"/>
      <c r="C26" s="8"/>
      <c r="D26" s="9"/>
      <c r="E26" s="10"/>
      <c r="F26" s="10"/>
      <c r="G26" s="11"/>
      <c r="H26" s="12"/>
      <c r="I26" s="12"/>
      <c r="J26" s="10"/>
      <c r="K26" s="10"/>
      <c r="L26" s="10"/>
    </row>
    <row r="27" spans="1:14" s="13" customFormat="1">
      <c r="A27" s="7"/>
      <c r="B27" s="7"/>
      <c r="C27" s="8"/>
      <c r="D27" s="9"/>
      <c r="E27" s="10"/>
      <c r="F27" s="10"/>
      <c r="G27" s="11"/>
      <c r="H27" s="12"/>
      <c r="I27" s="12"/>
      <c r="J27" s="10"/>
      <c r="K27" s="10"/>
      <c r="L27" s="10"/>
    </row>
    <row r="28" spans="1:14" s="13" customFormat="1">
      <c r="A28" s="7"/>
      <c r="B28" s="7"/>
      <c r="C28" s="8"/>
      <c r="D28" s="9"/>
      <c r="E28" s="10"/>
      <c r="F28" s="10"/>
      <c r="G28" s="11"/>
      <c r="H28" s="12"/>
      <c r="I28" s="12"/>
      <c r="J28" s="10"/>
      <c r="K28" s="10"/>
      <c r="L28" s="10"/>
    </row>
    <row r="29" spans="1:14" s="13" customFormat="1">
      <c r="A29" s="7"/>
      <c r="B29" s="7"/>
      <c r="C29" s="8"/>
      <c r="D29" s="9"/>
      <c r="E29" s="10"/>
      <c r="F29" s="10"/>
      <c r="G29" s="11"/>
      <c r="H29" s="12"/>
      <c r="I29" s="12"/>
      <c r="J29" s="10"/>
      <c r="K29" s="10"/>
      <c r="L29" s="10"/>
    </row>
    <row r="30" spans="1:14" s="13" customFormat="1">
      <c r="A30" s="7"/>
      <c r="B30" s="7"/>
      <c r="C30" s="8"/>
      <c r="D30" s="9"/>
      <c r="E30" s="10"/>
      <c r="F30" s="10"/>
      <c r="G30" s="11"/>
      <c r="H30" s="12"/>
      <c r="I30" s="12"/>
      <c r="J30" s="10"/>
      <c r="K30" s="10"/>
      <c r="L30" s="10"/>
    </row>
    <row r="31" spans="1:14" s="13" customFormat="1">
      <c r="A31" s="7"/>
      <c r="B31" s="7"/>
      <c r="C31" s="8"/>
      <c r="D31" s="9"/>
      <c r="E31" s="10"/>
      <c r="F31" s="10"/>
      <c r="G31" s="11"/>
      <c r="H31" s="12"/>
      <c r="I31" s="12"/>
      <c r="J31" s="10"/>
      <c r="K31" s="10"/>
      <c r="L31" s="10"/>
    </row>
    <row r="32" spans="1:14" s="13" customFormat="1">
      <c r="A32" s="7"/>
      <c r="B32" s="7"/>
      <c r="C32" s="8"/>
      <c r="D32" s="9"/>
      <c r="E32" s="10"/>
      <c r="F32" s="10"/>
      <c r="G32" s="11"/>
      <c r="H32" s="12"/>
      <c r="I32" s="12"/>
      <c r="J32" s="10"/>
      <c r="K32" s="10"/>
      <c r="L32" s="10"/>
    </row>
    <row r="33" spans="1:13" s="13" customFormat="1">
      <c r="A33" s="7"/>
      <c r="B33" s="7"/>
      <c r="C33" s="8"/>
      <c r="D33" s="9"/>
      <c r="E33" s="10"/>
      <c r="F33" s="10"/>
      <c r="G33" s="11"/>
      <c r="H33" s="12"/>
      <c r="I33" s="12"/>
      <c r="J33" s="10"/>
      <c r="K33" s="10"/>
      <c r="L33" s="10"/>
    </row>
    <row r="34" spans="1:13" s="13" customFormat="1">
      <c r="A34" s="7"/>
      <c r="B34" s="7"/>
      <c r="C34" s="8"/>
      <c r="D34" s="9"/>
      <c r="E34" s="10"/>
      <c r="F34" s="10"/>
      <c r="G34" s="11"/>
      <c r="H34" s="12"/>
      <c r="I34" s="12"/>
      <c r="J34" s="10"/>
      <c r="K34" s="10"/>
      <c r="L34" s="10"/>
    </row>
    <row r="35" spans="1:13" s="13" customFormat="1">
      <c r="A35" s="7"/>
      <c r="B35" s="7"/>
      <c r="C35" s="8"/>
      <c r="D35" s="9"/>
      <c r="E35" s="10"/>
      <c r="F35" s="10"/>
      <c r="G35" s="11"/>
      <c r="H35" s="12"/>
      <c r="I35" s="12"/>
      <c r="J35" s="10"/>
      <c r="K35" s="10"/>
      <c r="L35" s="10"/>
    </row>
    <row r="36" spans="1:13" s="13" customFormat="1">
      <c r="A36" s="7"/>
      <c r="B36" s="7"/>
      <c r="C36" s="8"/>
      <c r="D36" s="9"/>
      <c r="E36" s="10"/>
      <c r="F36" s="10"/>
      <c r="G36" s="11"/>
      <c r="H36" s="12"/>
      <c r="I36" s="12"/>
      <c r="J36" s="10"/>
      <c r="K36" s="10"/>
      <c r="L36" s="10"/>
    </row>
    <row r="37" spans="1:13">
      <c r="A37" s="7"/>
      <c r="B37" s="7"/>
      <c r="C37" s="8"/>
      <c r="D37" s="9"/>
      <c r="E37" s="10"/>
      <c r="F37" s="10"/>
      <c r="G37" s="11"/>
      <c r="H37" s="12"/>
      <c r="I37" s="12"/>
      <c r="J37" s="10"/>
      <c r="K37" s="10"/>
      <c r="L37" s="10"/>
    </row>
    <row r="38" spans="1:13">
      <c r="A38" s="7"/>
      <c r="B38" s="7"/>
      <c r="C38" s="8"/>
      <c r="D38" s="9"/>
      <c r="E38" s="29"/>
      <c r="F38" s="29"/>
      <c r="G38" s="11"/>
      <c r="H38" s="12"/>
      <c r="I38" s="12"/>
      <c r="J38" s="10"/>
      <c r="K38" s="10"/>
      <c r="L38" s="10"/>
    </row>
    <row r="39" spans="1:13" s="32" customFormat="1">
      <c r="A39" s="7"/>
      <c r="B39" s="30"/>
      <c r="C39" s="8"/>
      <c r="D39" s="9"/>
      <c r="E39" s="29"/>
      <c r="F39" s="29"/>
      <c r="G39" s="11"/>
      <c r="H39" s="12"/>
      <c r="I39" s="12"/>
      <c r="J39" s="10"/>
      <c r="K39" s="10"/>
      <c r="L39" s="29"/>
      <c r="M39" s="31"/>
    </row>
    <row r="40" spans="1:13" s="32" customFormat="1">
      <c r="A40" s="7"/>
      <c r="B40" s="30"/>
      <c r="C40" s="8"/>
      <c r="D40" s="9"/>
      <c r="E40" s="29"/>
      <c r="F40" s="29"/>
      <c r="G40" s="11"/>
      <c r="H40" s="12"/>
      <c r="I40" s="12"/>
      <c r="J40" s="10"/>
      <c r="K40" s="10"/>
      <c r="L40" s="29"/>
      <c r="M40" s="31"/>
    </row>
    <row r="41" spans="1:13" s="32" customFormat="1">
      <c r="A41" s="30"/>
      <c r="B41" s="30"/>
      <c r="C41" s="8"/>
      <c r="D41" s="9"/>
      <c r="E41" s="29"/>
      <c r="F41" s="29"/>
      <c r="G41" s="11"/>
      <c r="H41" s="12"/>
      <c r="I41" s="12"/>
      <c r="J41" s="10"/>
      <c r="K41" s="10"/>
      <c r="L41" s="29"/>
      <c r="M41" s="31"/>
    </row>
    <row r="42" spans="1:13" s="32" customFormat="1">
      <c r="A42" s="30"/>
      <c r="B42" s="30"/>
      <c r="C42" s="8"/>
      <c r="D42" s="9"/>
      <c r="E42" s="29"/>
      <c r="F42" s="29"/>
      <c r="G42" s="11"/>
      <c r="H42" s="12"/>
      <c r="I42" s="12"/>
      <c r="J42" s="10"/>
      <c r="K42" s="10"/>
      <c r="L42" s="29"/>
      <c r="M42" s="31"/>
    </row>
    <row r="43" spans="1:13" s="32" customFormat="1">
      <c r="A43" s="30"/>
      <c r="B43" s="30"/>
      <c r="C43" s="8"/>
      <c r="D43" s="9"/>
      <c r="E43" s="33"/>
      <c r="F43" s="33"/>
      <c r="G43" s="11"/>
      <c r="H43" s="12"/>
      <c r="I43" s="12"/>
      <c r="J43" s="10"/>
      <c r="K43" s="10"/>
      <c r="L43" s="29"/>
      <c r="M43" s="31"/>
    </row>
  </sheetData>
  <mergeCells count="2">
    <mergeCell ref="A12:E12"/>
    <mergeCell ref="F14:G14"/>
  </mergeCells>
  <phoneticPr fontId="12" type="noConversion"/>
  <dataValidations disablePrompts="1" count="2">
    <dataValidation type="list" allowBlank="1" showInputMessage="1" showErrorMessage="1" sqref="C16:C43" xr:uid="{85749A6A-9722-4B89-BA68-CD1F869BE7D3}">
      <formula1>$N$16:$N$17</formula1>
    </dataValidation>
    <dataValidation type="list" allowBlank="1" showInputMessage="1" showErrorMessage="1" sqref="H16:H22 H25:H72" xr:uid="{FD6FD210-86FA-451D-B76E-BC5B02FED81D}">
      <formula1>$B$2:$B$11</formula1>
    </dataValidation>
  </dataValidation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7BC7-4794-403A-9F58-213F91C515C1}">
  <dimension ref="A1:M41"/>
  <sheetViews>
    <sheetView topLeftCell="A12" zoomScale="85" zoomScaleNormal="85" workbookViewId="0">
      <selection activeCell="E24" sqref="E24"/>
    </sheetView>
  </sheetViews>
  <sheetFormatPr defaultColWidth="9.140625" defaultRowHeight="15.75"/>
  <cols>
    <col min="1" max="1" width="4.42578125" style="34" bestFit="1" customWidth="1"/>
    <col min="2" max="2" width="30" style="34" customWidth="1"/>
    <col min="3" max="3" width="11.85546875" style="35" customWidth="1"/>
    <col min="4" max="4" width="48" style="36" customWidth="1"/>
    <col min="5" max="5" width="60.42578125" style="14" customWidth="1"/>
    <col min="6" max="6" width="23.42578125" style="37" customWidth="1"/>
    <col min="7" max="7" width="26.140625" style="14" customWidth="1"/>
    <col min="8" max="8" width="23.42578125" style="14" hidden="1" customWidth="1"/>
    <col min="9" max="10" width="7.85546875" style="14" hidden="1" customWidth="1"/>
    <col min="11" max="11" width="12.140625" style="14" hidden="1" customWidth="1"/>
    <col min="12" max="12" width="9.140625" style="13"/>
    <col min="13" max="13" width="0" style="14" hidden="1" customWidth="1"/>
    <col min="14" max="16384" width="9.140625" style="14"/>
  </cols>
  <sheetData>
    <row r="1" spans="1:13" s="21" customFormat="1" ht="15" hidden="1">
      <c r="A1" s="16" t="s">
        <v>0</v>
      </c>
      <c r="B1" s="17" t="s">
        <v>1</v>
      </c>
      <c r="C1" s="17"/>
      <c r="D1" s="18"/>
      <c r="E1" s="19"/>
      <c r="F1" s="20"/>
      <c r="L1" s="19"/>
    </row>
    <row r="2" spans="1:13" s="21" customFormat="1" ht="15" hidden="1">
      <c r="A2" s="22">
        <v>1</v>
      </c>
      <c r="B2" s="23" t="s">
        <v>2</v>
      </c>
      <c r="C2" s="23"/>
      <c r="D2" s="18"/>
      <c r="E2" s="19"/>
      <c r="F2" s="20"/>
      <c r="L2" s="19"/>
    </row>
    <row r="3" spans="1:13" s="21" customFormat="1" ht="15" hidden="1">
      <c r="A3" s="22">
        <v>2</v>
      </c>
      <c r="B3" s="23" t="s">
        <v>3</v>
      </c>
      <c r="C3" s="23"/>
      <c r="D3" s="18"/>
      <c r="E3" s="19"/>
      <c r="F3" s="20"/>
      <c r="L3" s="19"/>
    </row>
    <row r="4" spans="1:13" s="21" customFormat="1" ht="15" hidden="1">
      <c r="A4" s="22">
        <v>3</v>
      </c>
      <c r="B4" s="23" t="s">
        <v>4</v>
      </c>
      <c r="C4" s="23"/>
      <c r="D4" s="18"/>
      <c r="E4" s="24"/>
      <c r="F4" s="20"/>
      <c r="L4" s="19"/>
    </row>
    <row r="5" spans="1:13" s="21" customFormat="1" ht="15" hidden="1">
      <c r="A5" s="22">
        <v>4</v>
      </c>
      <c r="B5" s="23" t="s">
        <v>5</v>
      </c>
      <c r="C5" s="23"/>
      <c r="D5" s="18"/>
      <c r="E5" s="19"/>
      <c r="F5" s="20"/>
      <c r="L5" s="19"/>
    </row>
    <row r="6" spans="1:13" s="21" customFormat="1" ht="15" hidden="1">
      <c r="A6" s="22">
        <v>5</v>
      </c>
      <c r="B6" s="23" t="s">
        <v>6</v>
      </c>
      <c r="C6" s="23"/>
      <c r="D6" s="18"/>
      <c r="E6" s="19"/>
      <c r="F6" s="20"/>
      <c r="L6" s="19"/>
    </row>
    <row r="7" spans="1:13" s="21" customFormat="1" ht="15" hidden="1">
      <c r="A7" s="22">
        <v>6</v>
      </c>
      <c r="B7" s="23" t="s">
        <v>7</v>
      </c>
      <c r="C7" s="23"/>
      <c r="D7" s="18"/>
      <c r="E7" s="19"/>
      <c r="F7" s="20"/>
      <c r="L7" s="19"/>
    </row>
    <row r="8" spans="1:13" s="21" customFormat="1" ht="15" hidden="1">
      <c r="A8" s="22">
        <v>7</v>
      </c>
      <c r="B8" s="23" t="s">
        <v>8</v>
      </c>
      <c r="C8" s="23"/>
      <c r="D8" s="18"/>
      <c r="E8" s="19"/>
      <c r="F8" s="20"/>
      <c r="L8" s="19"/>
    </row>
    <row r="9" spans="1:13" s="21" customFormat="1" ht="15" hidden="1">
      <c r="A9" s="22">
        <v>8</v>
      </c>
      <c r="B9" s="23" t="s">
        <v>9</v>
      </c>
      <c r="C9" s="23"/>
      <c r="D9" s="18"/>
      <c r="E9" s="19"/>
      <c r="F9" s="20"/>
      <c r="L9" s="19"/>
    </row>
    <row r="10" spans="1:13" s="21" customFormat="1" ht="15" hidden="1">
      <c r="A10" s="22">
        <v>9</v>
      </c>
      <c r="B10" s="25" t="s">
        <v>10</v>
      </c>
      <c r="C10" s="25"/>
      <c r="D10" s="18"/>
      <c r="F10" s="20"/>
      <c r="L10" s="19"/>
    </row>
    <row r="11" spans="1:13" s="21" customFormat="1" ht="15" hidden="1">
      <c r="A11" s="22">
        <v>10</v>
      </c>
      <c r="B11" s="25" t="s">
        <v>11</v>
      </c>
      <c r="C11" s="25"/>
      <c r="D11" s="18"/>
      <c r="F11" s="20"/>
      <c r="L11" s="19"/>
    </row>
    <row r="12" spans="1:13" s="21" customFormat="1" ht="49.5" customHeight="1">
      <c r="A12" s="107" t="s">
        <v>22</v>
      </c>
      <c r="B12" s="107"/>
      <c r="C12" s="107"/>
      <c r="D12" s="107"/>
      <c r="E12" s="107"/>
      <c r="F12" s="20"/>
      <c r="L12" s="19"/>
    </row>
    <row r="13" spans="1:13" s="21" customFormat="1" ht="15">
      <c r="A13" s="26"/>
      <c r="B13" s="26"/>
      <c r="C13" s="27"/>
      <c r="D13" s="28"/>
      <c r="F13" s="20"/>
      <c r="L13" s="19"/>
    </row>
    <row r="14" spans="1:13" s="4" customFormat="1" ht="42" customHeight="1">
      <c r="A14" s="1" t="s">
        <v>0</v>
      </c>
      <c r="B14" s="1" t="s">
        <v>12</v>
      </c>
      <c r="C14" s="6" t="s">
        <v>30</v>
      </c>
      <c r="D14" s="15" t="s">
        <v>13</v>
      </c>
      <c r="E14" s="1" t="s">
        <v>14</v>
      </c>
      <c r="F14" s="2" t="s">
        <v>15</v>
      </c>
      <c r="G14" s="5" t="s">
        <v>23</v>
      </c>
      <c r="H14" s="1" t="s">
        <v>16</v>
      </c>
      <c r="I14" s="1" t="s">
        <v>17</v>
      </c>
      <c r="J14" s="1" t="s">
        <v>18</v>
      </c>
      <c r="K14" s="3" t="s">
        <v>19</v>
      </c>
    </row>
    <row r="15" spans="1:13" ht="36.75" customHeight="1">
      <c r="A15" s="7">
        <v>1</v>
      </c>
      <c r="B15" s="7" t="s">
        <v>25</v>
      </c>
      <c r="C15" s="8" t="s">
        <v>20</v>
      </c>
      <c r="D15" s="9" t="s">
        <v>26</v>
      </c>
      <c r="E15" s="10" t="s">
        <v>43</v>
      </c>
      <c r="F15" s="11">
        <v>84499825</v>
      </c>
      <c r="G15" s="12" t="s">
        <v>5</v>
      </c>
      <c r="H15" s="12" t="s">
        <v>5</v>
      </c>
      <c r="I15" s="10" t="s">
        <v>21</v>
      </c>
      <c r="J15" s="10">
        <v>12</v>
      </c>
      <c r="K15" s="10"/>
      <c r="M15" s="14" t="s">
        <v>24</v>
      </c>
    </row>
    <row r="16" spans="1:13" ht="36.75" customHeight="1">
      <c r="A16" s="7">
        <v>2</v>
      </c>
      <c r="B16" s="7" t="s">
        <v>28</v>
      </c>
      <c r="C16" s="8" t="s">
        <v>20</v>
      </c>
      <c r="D16" s="9" t="s">
        <v>35</v>
      </c>
      <c r="E16" s="10" t="s">
        <v>29</v>
      </c>
      <c r="F16" s="11">
        <v>30000000</v>
      </c>
      <c r="G16" s="12" t="s">
        <v>8</v>
      </c>
      <c r="H16" s="12"/>
      <c r="I16" s="10"/>
      <c r="J16" s="10"/>
      <c r="K16" s="10"/>
      <c r="M16" s="14" t="s">
        <v>20</v>
      </c>
    </row>
    <row r="17" spans="1:11" s="13" customFormat="1" ht="36.75" customHeight="1">
      <c r="A17" s="7">
        <v>3</v>
      </c>
      <c r="B17" s="7" t="s">
        <v>25</v>
      </c>
      <c r="C17" s="8" t="s">
        <v>20</v>
      </c>
      <c r="D17" s="9" t="s">
        <v>31</v>
      </c>
      <c r="E17" s="10" t="s">
        <v>44</v>
      </c>
      <c r="F17" s="11">
        <v>500000000</v>
      </c>
      <c r="G17" s="12" t="s">
        <v>8</v>
      </c>
      <c r="H17" s="12"/>
      <c r="I17" s="10"/>
      <c r="J17" s="10"/>
      <c r="K17" s="10"/>
    </row>
    <row r="18" spans="1:11" s="13" customFormat="1" ht="36.75" customHeight="1">
      <c r="A18" s="7">
        <v>4</v>
      </c>
      <c r="B18" s="7" t="s">
        <v>25</v>
      </c>
      <c r="C18" s="8" t="s">
        <v>20</v>
      </c>
      <c r="D18" s="9" t="s">
        <v>45</v>
      </c>
      <c r="E18" s="10" t="s">
        <v>44</v>
      </c>
      <c r="F18" s="11">
        <v>400000000</v>
      </c>
      <c r="G18" s="12" t="s">
        <v>3</v>
      </c>
      <c r="H18" s="12"/>
      <c r="I18" s="10"/>
      <c r="J18" s="10"/>
      <c r="K18" s="10"/>
    </row>
    <row r="19" spans="1:11" s="13" customFormat="1" ht="36.75" customHeight="1">
      <c r="A19" s="7">
        <v>5</v>
      </c>
      <c r="B19" s="7" t="s">
        <v>25</v>
      </c>
      <c r="C19" s="8" t="s">
        <v>24</v>
      </c>
      <c r="D19" s="9" t="s">
        <v>36</v>
      </c>
      <c r="E19" s="10" t="s">
        <v>37</v>
      </c>
      <c r="F19" s="11">
        <v>20892359000</v>
      </c>
      <c r="G19" s="12" t="s">
        <v>6</v>
      </c>
      <c r="H19" s="12"/>
      <c r="I19" s="10"/>
      <c r="J19" s="10"/>
      <c r="K19" s="10"/>
    </row>
    <row r="20" spans="1:11" s="13" customFormat="1" ht="36.75" customHeight="1">
      <c r="A20" s="7">
        <v>6</v>
      </c>
      <c r="B20" s="7" t="s">
        <v>25</v>
      </c>
      <c r="C20" s="8" t="s">
        <v>20</v>
      </c>
      <c r="D20" s="9" t="s">
        <v>33</v>
      </c>
      <c r="E20" s="10" t="s">
        <v>46</v>
      </c>
      <c r="F20" s="11">
        <v>10446817000</v>
      </c>
      <c r="G20" s="12" t="s">
        <v>6</v>
      </c>
      <c r="H20" s="12"/>
      <c r="I20" s="10"/>
      <c r="J20" s="10"/>
      <c r="K20" s="10"/>
    </row>
    <row r="21" spans="1:11" s="13" customFormat="1">
      <c r="A21" s="7"/>
      <c r="B21" s="7"/>
      <c r="C21" s="8"/>
      <c r="D21" s="9"/>
      <c r="E21" s="10"/>
      <c r="F21" s="11"/>
      <c r="G21" s="12"/>
      <c r="H21" s="12"/>
      <c r="I21" s="10"/>
      <c r="J21" s="10"/>
      <c r="K21" s="10"/>
    </row>
    <row r="22" spans="1:11" s="13" customFormat="1">
      <c r="A22" s="7"/>
      <c r="B22" s="7"/>
      <c r="C22" s="8"/>
      <c r="D22" s="9"/>
      <c r="E22" s="10"/>
      <c r="F22" s="11"/>
      <c r="G22" s="12"/>
      <c r="H22" s="12"/>
      <c r="I22" s="10"/>
      <c r="J22" s="10"/>
      <c r="K22" s="10"/>
    </row>
    <row r="23" spans="1:11" s="13" customFormat="1">
      <c r="A23" s="7"/>
      <c r="B23" s="7"/>
      <c r="C23" s="8"/>
      <c r="D23" s="9"/>
      <c r="E23" s="10"/>
      <c r="F23" s="11"/>
      <c r="G23" s="12"/>
      <c r="H23" s="12"/>
      <c r="I23" s="10"/>
      <c r="J23" s="10"/>
      <c r="K23" s="10"/>
    </row>
    <row r="24" spans="1:11" s="13" customFormat="1">
      <c r="A24" s="7"/>
      <c r="B24" s="7"/>
      <c r="C24" s="8"/>
      <c r="D24" s="9"/>
      <c r="E24" s="10"/>
      <c r="F24" s="11"/>
      <c r="G24" s="12"/>
      <c r="H24" s="12"/>
      <c r="I24" s="10"/>
      <c r="J24" s="10"/>
      <c r="K24" s="10"/>
    </row>
    <row r="25" spans="1:11" s="13" customFormat="1">
      <c r="A25" s="7"/>
      <c r="B25" s="7"/>
      <c r="C25" s="8"/>
      <c r="D25" s="9"/>
      <c r="E25" s="10"/>
      <c r="F25" s="11"/>
      <c r="G25" s="12"/>
      <c r="H25" s="12"/>
      <c r="I25" s="10"/>
      <c r="J25" s="10"/>
      <c r="K25" s="10"/>
    </row>
    <row r="26" spans="1:11" s="13" customFormat="1">
      <c r="A26" s="7"/>
      <c r="B26" s="7"/>
      <c r="C26" s="8"/>
      <c r="D26" s="9"/>
      <c r="E26" s="10"/>
      <c r="F26" s="11"/>
      <c r="G26" s="12"/>
      <c r="H26" s="12"/>
      <c r="I26" s="10"/>
      <c r="J26" s="10"/>
      <c r="K26" s="10"/>
    </row>
    <row r="27" spans="1:11" s="13" customFormat="1">
      <c r="A27" s="7"/>
      <c r="B27" s="7"/>
      <c r="C27" s="8"/>
      <c r="D27" s="9"/>
      <c r="E27" s="10"/>
      <c r="F27" s="11"/>
      <c r="G27" s="12"/>
      <c r="H27" s="12"/>
      <c r="I27" s="10"/>
      <c r="J27" s="10"/>
      <c r="K27" s="10"/>
    </row>
    <row r="28" spans="1:11" s="13" customFormat="1">
      <c r="A28" s="7"/>
      <c r="B28" s="7"/>
      <c r="C28" s="8"/>
      <c r="D28" s="9"/>
      <c r="E28" s="10"/>
      <c r="F28" s="11"/>
      <c r="G28" s="12"/>
      <c r="H28" s="12"/>
      <c r="I28" s="10"/>
      <c r="J28" s="10"/>
      <c r="K28" s="10"/>
    </row>
    <row r="29" spans="1:11" s="13" customFormat="1">
      <c r="A29" s="7"/>
      <c r="B29" s="7"/>
      <c r="C29" s="8"/>
      <c r="D29" s="9"/>
      <c r="E29" s="10"/>
      <c r="F29" s="11"/>
      <c r="G29" s="12"/>
      <c r="H29" s="12"/>
      <c r="I29" s="10"/>
      <c r="J29" s="10"/>
      <c r="K29" s="10"/>
    </row>
    <row r="30" spans="1:11" s="13" customFormat="1">
      <c r="A30" s="7"/>
      <c r="B30" s="7"/>
      <c r="C30" s="8"/>
      <c r="D30" s="9"/>
      <c r="E30" s="10"/>
      <c r="F30" s="11"/>
      <c r="G30" s="12"/>
      <c r="H30" s="12"/>
      <c r="I30" s="10"/>
      <c r="J30" s="10"/>
      <c r="K30" s="10"/>
    </row>
    <row r="31" spans="1:11" s="13" customFormat="1">
      <c r="A31" s="7"/>
      <c r="B31" s="7"/>
      <c r="C31" s="8"/>
      <c r="D31" s="9"/>
      <c r="E31" s="10"/>
      <c r="F31" s="11"/>
      <c r="G31" s="12"/>
      <c r="H31" s="12"/>
      <c r="I31" s="10"/>
      <c r="J31" s="10"/>
      <c r="K31" s="10"/>
    </row>
    <row r="32" spans="1:11" s="13" customFormat="1">
      <c r="A32" s="7"/>
      <c r="B32" s="7"/>
      <c r="C32" s="8"/>
      <c r="D32" s="9"/>
      <c r="E32" s="10"/>
      <c r="F32" s="11"/>
      <c r="G32" s="12"/>
      <c r="H32" s="12"/>
      <c r="I32" s="10"/>
      <c r="J32" s="10"/>
      <c r="K32" s="10"/>
    </row>
    <row r="33" spans="1:12" s="13" customFormat="1">
      <c r="A33" s="7"/>
      <c r="B33" s="7"/>
      <c r="C33" s="8"/>
      <c r="D33" s="9"/>
      <c r="E33" s="10"/>
      <c r="F33" s="11"/>
      <c r="G33" s="12"/>
      <c r="H33" s="12"/>
      <c r="I33" s="10"/>
      <c r="J33" s="10"/>
      <c r="K33" s="10"/>
    </row>
    <row r="34" spans="1:12" s="13" customFormat="1">
      <c r="A34" s="7"/>
      <c r="B34" s="7"/>
      <c r="C34" s="8"/>
      <c r="D34" s="9"/>
      <c r="E34" s="10"/>
      <c r="F34" s="11"/>
      <c r="G34" s="12"/>
      <c r="H34" s="12"/>
      <c r="I34" s="10"/>
      <c r="J34" s="10"/>
      <c r="K34" s="10"/>
    </row>
    <row r="35" spans="1:12">
      <c r="A35" s="7"/>
      <c r="B35" s="7"/>
      <c r="C35" s="8"/>
      <c r="D35" s="9"/>
      <c r="E35" s="10"/>
      <c r="F35" s="11"/>
      <c r="G35" s="12"/>
      <c r="H35" s="12"/>
      <c r="I35" s="10"/>
      <c r="J35" s="10"/>
      <c r="K35" s="10"/>
    </row>
    <row r="36" spans="1:12">
      <c r="A36" s="7"/>
      <c r="B36" s="7"/>
      <c r="C36" s="8"/>
      <c r="D36" s="9"/>
      <c r="E36" s="29"/>
      <c r="F36" s="11"/>
      <c r="G36" s="12"/>
      <c r="H36" s="12"/>
      <c r="I36" s="10"/>
      <c r="J36" s="10"/>
      <c r="K36" s="10"/>
    </row>
    <row r="37" spans="1:12" s="32" customFormat="1">
      <c r="A37" s="7"/>
      <c r="B37" s="30"/>
      <c r="C37" s="8"/>
      <c r="D37" s="9"/>
      <c r="E37" s="29"/>
      <c r="F37" s="11"/>
      <c r="G37" s="12"/>
      <c r="H37" s="12"/>
      <c r="I37" s="10"/>
      <c r="J37" s="10"/>
      <c r="K37" s="29"/>
      <c r="L37" s="31"/>
    </row>
    <row r="38" spans="1:12" s="32" customFormat="1">
      <c r="A38" s="7"/>
      <c r="B38" s="30"/>
      <c r="C38" s="8"/>
      <c r="D38" s="9"/>
      <c r="E38" s="29"/>
      <c r="F38" s="11"/>
      <c r="G38" s="12"/>
      <c r="H38" s="12"/>
      <c r="I38" s="10"/>
      <c r="J38" s="10"/>
      <c r="K38" s="29"/>
      <c r="L38" s="31"/>
    </row>
    <row r="39" spans="1:12" s="32" customFormat="1">
      <c r="A39" s="30"/>
      <c r="B39" s="30"/>
      <c r="C39" s="8"/>
      <c r="D39" s="9"/>
      <c r="E39" s="29"/>
      <c r="F39" s="11"/>
      <c r="G39" s="12"/>
      <c r="H39" s="12"/>
      <c r="I39" s="10"/>
      <c r="J39" s="10"/>
      <c r="K39" s="29"/>
      <c r="L39" s="31"/>
    </row>
    <row r="40" spans="1:12" s="32" customFormat="1">
      <c r="A40" s="30"/>
      <c r="B40" s="30"/>
      <c r="C40" s="8"/>
      <c r="D40" s="9"/>
      <c r="E40" s="29"/>
      <c r="F40" s="11"/>
      <c r="G40" s="12"/>
      <c r="H40" s="12"/>
      <c r="I40" s="10"/>
      <c r="J40" s="10"/>
      <c r="K40" s="29"/>
      <c r="L40" s="31"/>
    </row>
    <row r="41" spans="1:12" s="32" customFormat="1">
      <c r="A41" s="30"/>
      <c r="B41" s="30"/>
      <c r="C41" s="8"/>
      <c r="D41" s="9"/>
      <c r="E41" s="33"/>
      <c r="F41" s="11"/>
      <c r="G41" s="12"/>
      <c r="H41" s="12"/>
      <c r="I41" s="10"/>
      <c r="J41" s="10"/>
      <c r="K41" s="29"/>
      <c r="L41" s="31"/>
    </row>
  </sheetData>
  <mergeCells count="1">
    <mergeCell ref="A12:E12"/>
  </mergeCells>
  <dataValidations count="2">
    <dataValidation type="list" allowBlank="1" showInputMessage="1" showErrorMessage="1" sqref="C15:C41" xr:uid="{D42350FA-B789-498B-8DDF-7ED6C1EC3D2E}">
      <formula1>$M$15:$M$16</formula1>
    </dataValidation>
    <dataValidation type="list" allowBlank="1" showInputMessage="1" showErrorMessage="1" sqref="G15:G70" xr:uid="{E6D9046F-F2F7-4354-B011-6AE479656CA1}">
      <formula1>$B$2:$B$11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B3EA8B2FFA7B47850E997EAB7B985F" ma:contentTypeVersion="9" ma:contentTypeDescription="Create a new document." ma:contentTypeScope="" ma:versionID="d8892098a0b484d85cbea684e6f2f0ec">
  <xsd:schema xmlns:xsd="http://www.w3.org/2001/XMLSchema" xmlns:xs="http://www.w3.org/2001/XMLSchema" xmlns:p="http://schemas.microsoft.com/office/2006/metadata/properties" xmlns:ns3="64cf5e78-b95f-4f9c-b91e-9ead4aa3248d" targetNamespace="http://schemas.microsoft.com/office/2006/metadata/properties" ma:root="true" ma:fieldsID="d659714af23f01b3fa623fa51b5d6890" ns3:_="">
    <xsd:import namespace="64cf5e78-b95f-4f9c-b91e-9ead4aa3248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f5e78-b95f-4f9c-b91e-9ead4aa3248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cf5e78-b95f-4f9c-b91e-9ead4aa3248d" xsi:nil="true"/>
  </documentManagement>
</p:properties>
</file>

<file path=customXml/itemProps1.xml><?xml version="1.0" encoding="utf-8"?>
<ds:datastoreItem xmlns:ds="http://schemas.openxmlformats.org/officeDocument/2006/customXml" ds:itemID="{EE8483D7-4ACE-4248-950B-7E1B676123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1038D9-53E5-4022-A935-4187EE76CE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cf5e78-b95f-4f9c-b91e-9ead4aa324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066B2F-9669-46FE-BF71-CE6FEF11507C}">
  <ds:schemaRefs>
    <ds:schemaRef ds:uri="64cf5e78-b95f-4f9c-b91e-9ead4aa3248d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</vt:i4>
      </vt:variant>
    </vt:vector>
  </HeadingPairs>
  <TitlesOfParts>
    <vt:vector size="25" baseType="lpstr">
      <vt:lpstr>26.T8.W</vt:lpstr>
      <vt:lpstr>T.06.W3</vt:lpstr>
      <vt:lpstr>T.06.W2</vt:lpstr>
      <vt:lpstr>T.06.W1</vt:lpstr>
      <vt:lpstr>T05.W4</vt:lpstr>
      <vt:lpstr>T05.W3</vt:lpstr>
      <vt:lpstr>T05.W2</vt:lpstr>
      <vt:lpstr>T04.W5</vt:lpstr>
      <vt:lpstr>T04.W4</vt:lpstr>
      <vt:lpstr>T04.W3</vt:lpstr>
      <vt:lpstr>T04.W2</vt:lpstr>
      <vt:lpstr>T04.W1</vt:lpstr>
      <vt:lpstr>T03.W4</vt:lpstr>
      <vt:lpstr>T03.W3</vt:lpstr>
      <vt:lpstr>T03.W2</vt:lpstr>
      <vt:lpstr>W1</vt:lpstr>
      <vt:lpstr>W2.M2 (2)</vt:lpstr>
      <vt:lpstr>W3.M1</vt:lpstr>
      <vt:lpstr>W1,M2</vt:lpstr>
      <vt:lpstr>W4.M1</vt:lpstr>
      <vt:lpstr>W1.M1</vt:lpstr>
      <vt:lpstr>W5.M12</vt:lpstr>
      <vt:lpstr>W4.M12</vt:lpstr>
      <vt:lpstr>'W5.M12'!_Hlk217550945</vt:lpstr>
      <vt:lpstr>'26.T8.W'!Print_Area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Nguyen Thi</dc:creator>
  <cp:lastModifiedBy>Phu Nguyen Thi Ngoc</cp:lastModifiedBy>
  <cp:lastPrinted>2026-01-10T05:17:09Z</cp:lastPrinted>
  <dcterms:created xsi:type="dcterms:W3CDTF">2025-12-08T02:14:01Z</dcterms:created>
  <dcterms:modified xsi:type="dcterms:W3CDTF">2026-08-12T01:25:12Z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0x01010011B3EA8B2FFA7B47850E997EAB7B985F</vt:lpwstr>
  </property>
</Properties>
</file>