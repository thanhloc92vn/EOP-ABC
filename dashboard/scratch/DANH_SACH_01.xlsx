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E065417-6A3C-4B9E-B18A-BB1D6145B43B}" xr6:coauthVersionLast="47" xr6:coauthVersionMax="47" xr10:uidLastSave="{00000000-0000-0000-0000-000000000000}"/>
  <bookViews>
    <workbookView xWindow="-120" yWindow="-120" windowWidth="38640" windowHeight="21120" xr2:uid="{90F8DC45-CD94-48EA-904F-5419332E56B9}"/>
  </bookViews>
  <sheets>
    <sheet name="T6" sheetId="1" r:id="rId1"/>
  </sheets>
  <externalReferences>
    <externalReference r:id="rId2"/>
  </externalReferences>
  <definedNames>
    <definedName name="_xlnm._FilterDatabase" localSheetId="0" hidden="1">'T6'!$A$4:$L$51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" i="1" l="1"/>
  <c r="A23" i="1"/>
  <c r="B21" i="1"/>
  <c r="B22" i="1"/>
  <c r="A21" i="1"/>
  <c r="A22" i="1"/>
  <c r="K69" i="1"/>
  <c r="G69" i="1"/>
  <c r="E69" i="1"/>
  <c r="B51" i="1"/>
  <c r="A51" i="1"/>
  <c r="B50" i="1"/>
  <c r="A50" i="1"/>
  <c r="B49" i="1"/>
  <c r="A49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8" i="1"/>
  <c r="A38" i="1"/>
  <c r="B37" i="1"/>
  <c r="A37" i="1"/>
  <c r="B36" i="1"/>
  <c r="A36" i="1"/>
  <c r="B35" i="1"/>
  <c r="A35" i="1"/>
  <c r="B34" i="1"/>
  <c r="A34" i="1"/>
  <c r="B32" i="1"/>
  <c r="A32" i="1"/>
  <c r="B31" i="1"/>
  <c r="A31" i="1"/>
  <c r="B29" i="1"/>
  <c r="A29" i="1"/>
  <c r="B28" i="1"/>
  <c r="A28" i="1"/>
  <c r="B27" i="1"/>
  <c r="A27" i="1"/>
  <c r="B26" i="1"/>
  <c r="A26" i="1"/>
  <c r="B25" i="1"/>
  <c r="A25" i="1"/>
  <c r="B24" i="1"/>
  <c r="A24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1" i="1"/>
  <c r="A11" i="1"/>
  <c r="B10" i="1"/>
  <c r="A10" i="1"/>
  <c r="B9" i="1"/>
  <c r="A9" i="1"/>
  <c r="B8" i="1"/>
  <c r="A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Phuong, Lai Nguyen Lan</author>
  </authors>
  <commentList>
    <comment ref="E9" authorId="0" shapeId="0" xr:uid="{DD53878E-53B6-44BA-B635-0DB91B9FA12C}">
      <text>
        <r>
          <rPr>
            <b/>
            <sz val="9"/>
            <color indexed="81"/>
            <rFont val="Tahoma"/>
            <family val="2"/>
          </rPr>
          <t>Phuong, Lai Nguyen Lan:</t>
        </r>
        <r>
          <rPr>
            <sz val="9"/>
            <color indexed="81"/>
            <rFont val="Tahoma"/>
            <family val="2"/>
          </rPr>
          <t xml:space="preserve">
THÂM NIÊN TN: 01/12/2013</t>
        </r>
      </text>
    </comment>
    <comment ref="E10" authorId="0" shapeId="0" xr:uid="{702B5533-6F8F-407E-8BBC-7ECBB11FC004}">
      <text>
        <r>
          <rPr>
            <b/>
            <sz val="9"/>
            <color indexed="81"/>
            <rFont val="Tahoma"/>
            <family val="2"/>
          </rPr>
          <t>Phuong, Lai Nguyen Lan:</t>
        </r>
        <r>
          <rPr>
            <sz val="9"/>
            <color indexed="81"/>
            <rFont val="Tahoma"/>
            <family val="2"/>
          </rPr>
          <t xml:space="preserve">
THÂM NIÊN TN: 01/07/2014</t>
        </r>
      </text>
    </comment>
    <comment ref="E11" authorId="0" shapeId="0" xr:uid="{6BEC6695-D11A-4E1E-AF71-6C1DF9817449}">
      <text>
        <r>
          <rPr>
            <b/>
            <sz val="9"/>
            <color indexed="81"/>
            <rFont val="Tahoma"/>
            <family val="2"/>
          </rPr>
          <t>Phuong, Lai Nguyen Lan:</t>
        </r>
        <r>
          <rPr>
            <sz val="9"/>
            <color indexed="81"/>
            <rFont val="Tahoma"/>
            <family val="2"/>
          </rPr>
          <t xml:space="preserve">
THÂM NIÊN SMC: 24/05/2021</t>
        </r>
      </text>
    </comment>
    <comment ref="E14" authorId="0" shapeId="0" xr:uid="{F1DFC94F-FAD1-4307-9330-53812229BF90}">
      <text>
        <r>
          <rPr>
            <b/>
            <sz val="9"/>
            <color indexed="81"/>
            <rFont val="Tahoma"/>
            <family val="2"/>
          </rPr>
          <t>Phuong, Lai Nguyen Lan:</t>
        </r>
        <r>
          <rPr>
            <sz val="9"/>
            <color indexed="81"/>
            <rFont val="Tahoma"/>
            <family val="2"/>
          </rPr>
          <t xml:space="preserve">
THAM NIEN SMC: 05/07/2021</t>
        </r>
      </text>
    </comment>
    <comment ref="E36" authorId="0" shapeId="0" xr:uid="{37441316-60FA-4FAB-9117-04111ABB983F}">
      <text>
        <r>
          <rPr>
            <b/>
            <sz val="9"/>
            <color indexed="81"/>
            <rFont val="Tahoma"/>
            <family val="2"/>
          </rPr>
          <t>Phuong, Lai Nguyen Lan:</t>
        </r>
        <r>
          <rPr>
            <sz val="9"/>
            <color indexed="81"/>
            <rFont val="Tahoma"/>
            <family val="2"/>
          </rPr>
          <t xml:space="preserve">
THÂM NIÊN SMC: 01/07/2021</t>
        </r>
      </text>
    </comment>
  </commentList>
</comments>
</file>

<file path=xl/sharedStrings.xml><?xml version="1.0" encoding="utf-8"?>
<sst xmlns="http://schemas.openxmlformats.org/spreadsheetml/2006/main" count="178" uniqueCount="138">
  <si>
    <t>CÔNG TY CP XÂY DỰNG VÀ LẮP MÁY TRUNG NAM</t>
  </si>
  <si>
    <t>STT TỔNG</t>
  </si>
  <si>
    <t>STT</t>
  </si>
  <si>
    <t>MÃ NHÂN VIÊN</t>
  </si>
  <si>
    <t>HỌ TÊN</t>
  </si>
  <si>
    <t>NGÀY NHẬN VIỆC</t>
  </si>
  <si>
    <t>NGÀY KÝ HĐ THỬ VIỆC</t>
  </si>
  <si>
    <t>NGÀY KÝ HĐLĐ</t>
  </si>
  <si>
    <t>BAN GIÁM ĐỐC</t>
  </si>
  <si>
    <t>Huỳnh Giáp Nhân</t>
  </si>
  <si>
    <t>Nguyễn Duy Hưng</t>
  </si>
  <si>
    <t>Phan Tấn Phát</t>
  </si>
  <si>
    <t>18/08/2025</t>
  </si>
  <si>
    <t>Phùng Nguyên Khôi</t>
  </si>
  <si>
    <t>P. HÀNH CHÍNH NHÂN SỰ</t>
  </si>
  <si>
    <t>Lê Thị Hoa Đào</t>
  </si>
  <si>
    <t>Nguyễn Bích Như Quỳnh</t>
  </si>
  <si>
    <t>Dương Nhật Hoành Anh</t>
  </si>
  <si>
    <t>Phạm Thành Lộc</t>
  </si>
  <si>
    <t>14/07/2025</t>
  </si>
  <si>
    <t>Nguyễn Ngọc Thanh Hằng</t>
  </si>
  <si>
    <t>Lại Nguyễn Lan Phương</t>
  </si>
  <si>
    <t>13/03/2019</t>
  </si>
  <si>
    <t>Nguyễn Trương Thùy Quyên</t>
  </si>
  <si>
    <t>30/09/2025</t>
  </si>
  <si>
    <t>Võ Thị Thanh Nhàn</t>
  </si>
  <si>
    <t>16/03/2026</t>
  </si>
  <si>
    <t>16/04/2026</t>
  </si>
  <si>
    <t>Trần Ngọc Hoàng</t>
  </si>
  <si>
    <t>Nguyễn Thị Bích Thủy</t>
  </si>
  <si>
    <t>Bùi Nhựt Duy</t>
  </si>
  <si>
    <t>Trương Thành Phương</t>
  </si>
  <si>
    <t>Nguyễn Thị Bích Ngọc</t>
  </si>
  <si>
    <t>15/07/2025</t>
  </si>
  <si>
    <t>15/08/2025</t>
  </si>
  <si>
    <t>Hoàng Thành Lưu</t>
  </si>
  <si>
    <t>21/10/2025</t>
  </si>
  <si>
    <t>TỔ THƯ KÝ, TRỢ LÝ</t>
  </si>
  <si>
    <t>Vương Quý Như</t>
  </si>
  <si>
    <t>Đoàn Thị Minh Thương</t>
  </si>
  <si>
    <t>---</t>
  </si>
  <si>
    <t>P. VẬT TƯ THIẾT BỊ</t>
  </si>
  <si>
    <t>Đoàn Cường</t>
  </si>
  <si>
    <t>Đoàn Hùng Kiệt</t>
  </si>
  <si>
    <t>Trịnh Mạnh Hùng</t>
  </si>
  <si>
    <t>Chu Bảo Quốc</t>
  </si>
  <si>
    <t>Đoàn Quang Mạnh</t>
  </si>
  <si>
    <t>22/12/2025</t>
  </si>
  <si>
    <t>22/02/2026</t>
  </si>
  <si>
    <t>Nguyễn Hữu Vinh</t>
  </si>
  <si>
    <t>Nguyễn Anh Dũng</t>
  </si>
  <si>
    <t>Lê Quỳnh Ngân</t>
  </si>
  <si>
    <t>23/06/2025</t>
  </si>
  <si>
    <t>23/08/2025</t>
  </si>
  <si>
    <t>Nguyễn Anh Khoa</t>
  </si>
  <si>
    <t>Nguyễn Thị Ngọc Phú</t>
  </si>
  <si>
    <t>Nguyễn Lê Nhựt An</t>
  </si>
  <si>
    <t>Trần Thùy Dương</t>
  </si>
  <si>
    <t>19/05/2025</t>
  </si>
  <si>
    <t>19/07/2025</t>
  </si>
  <si>
    <t>Trần Đẩu Lượng</t>
  </si>
  <si>
    <t>TỔ ĐẤU THẦU</t>
  </si>
  <si>
    <t>Trần Thanh Tam</t>
  </si>
  <si>
    <t>21/07/2025</t>
  </si>
  <si>
    <t>21/09/2025</t>
  </si>
  <si>
    <t>Phạm Thanh Vy</t>
  </si>
  <si>
    <t>Lê Trần Anh Thư</t>
  </si>
  <si>
    <t>SỐ HĐTV</t>
  </si>
  <si>
    <t>TỪ NGÀY</t>
  </si>
  <si>
    <t>ĐẾN NGÀY</t>
  </si>
  <si>
    <t>SỐ HĐLĐ</t>
  </si>
  <si>
    <t>LOẠI HĐLĐ</t>
  </si>
  <si>
    <t>NGÀY HIỆU LỰC</t>
  </si>
  <si>
    <t>NGÀY HẾT HẠN</t>
  </si>
  <si>
    <t>MỨC LƯƠNG BHXH</t>
  </si>
  <si>
    <t>THƯỞNG HIỆU QUẢ CÔNG VIỆC</t>
  </si>
  <si>
    <t>000139/2025/HĐLĐ/TNE&amp;C</t>
  </si>
  <si>
    <t>Không xác định thời hạn</t>
  </si>
  <si>
    <t>006145/2026/HĐLĐ/TNE&amp;C</t>
  </si>
  <si>
    <t>006409/2026/HĐTV/TNE&amp;C</t>
  </si>
  <si>
    <t>006338/2026/HĐTV/TNE&amp;C</t>
  </si>
  <si>
    <t>006305/2026/HĐTV/TNE&amp;C</t>
  </si>
  <si>
    <t>005774/2025/HĐLĐ/TNE&amp;C</t>
  </si>
  <si>
    <t>Xác định thời hạn</t>
  </si>
  <si>
    <t>000802/HĐLĐ/TNE&amp;C</t>
  </si>
  <si>
    <t>005897/2025/HĐLĐ/TNE&amp;C</t>
  </si>
  <si>
    <t>006206/2025/HĐLĐ/TNE&amp;C</t>
  </si>
  <si>
    <t>004552/2025/HĐLĐ/TNE&amp;C</t>
  </si>
  <si>
    <t>000060/2025/HĐLĐ/TNE&amp;C</t>
  </si>
  <si>
    <t>005535/2026/HĐLĐ/TNE&amp;C</t>
  </si>
  <si>
    <t>006305/2025/HĐLĐ/TNE&amp;C</t>
  </si>
  <si>
    <t>005767/2025/HĐLĐ/TNE&amp;C</t>
  </si>
  <si>
    <t>005924/2025/HĐLĐ/TNE&amp;C</t>
  </si>
  <si>
    <t>006267/2026/HĐLĐ/TNE&amp;C</t>
  </si>
  <si>
    <t>002876/2025/HĐLĐ/TNE&amp;C</t>
  </si>
  <si>
    <t>006381/2026/HĐTV/TNE&amp;C</t>
  </si>
  <si>
    <t>006045/2025/HĐTV/TNE&amp;C</t>
  </si>
  <si>
    <t>006377/2026/HĐTV/TNE&amp;C</t>
  </si>
  <si>
    <t>005804/2025/HĐTV/TNE&amp;C</t>
  </si>
  <si>
    <t>005730/2025/HĐTV/TNE&amp;C</t>
  </si>
  <si>
    <t>005595/2025/HĐTV/TNE&amp;C</t>
  </si>
  <si>
    <t>005428/2026/HĐLĐ/TNE&amp;C</t>
  </si>
  <si>
    <t>005866/2025/HĐLĐ/TNE&amp;C</t>
  </si>
  <si>
    <t>006045/2025/HĐLĐ/TNE&amp;C</t>
  </si>
  <si>
    <t>005804/2025/HĐLĐ/TNE&amp;C</t>
  </si>
  <si>
    <t>006147/2026/HĐTV/TNE&amp;C</t>
  </si>
  <si>
    <t>006302/2026/HĐTV/TNE&amp;C</t>
  </si>
  <si>
    <t>006302/2026/HĐLĐ/TNE&amp;C</t>
  </si>
  <si>
    <t>005778/2025/HĐLĐ/TNE&amp;C</t>
  </si>
  <si>
    <t>005640/2026/HĐLĐ/TNE&amp;C</t>
  </si>
  <si>
    <t>006142/2026/HĐLĐ/TNE&amp;C</t>
  </si>
  <si>
    <t>005610/2025/HĐLĐ/TNE&amp;C</t>
  </si>
  <si>
    <t>005866/2026/HĐTV/TNE&amp;C</t>
  </si>
  <si>
    <t>006267/2026/HĐTV/TNE&amp;C</t>
  </si>
  <si>
    <t>005767/2025/HĐTV/TNE&amp;C</t>
  </si>
  <si>
    <t>005535/2025/HĐTV/TNE&amp;C</t>
  </si>
  <si>
    <t>005897/2025/HĐTV/TNE&amp;C</t>
  </si>
  <si>
    <t>000802/HĐTV/TNE&amp;C</t>
  </si>
  <si>
    <t>005497/2025/HĐLĐ/TNE&amp;C</t>
  </si>
  <si>
    <t>005858/2025/HĐLĐ/TNE&amp;C</t>
  </si>
  <si>
    <t>005585/2025/HĐLĐ/TNE&amp;C</t>
  </si>
  <si>
    <t>005640/2026/HĐTV/TNE&amp;C</t>
  </si>
  <si>
    <t>005778/2025/HĐTV/TNE&amp;C</t>
  </si>
  <si>
    <t>006142/2026/HĐTV/TNE&amp;C</t>
  </si>
  <si>
    <t>005610/2025/HĐTV/TNE&amp;C</t>
  </si>
  <si>
    <t>003335/2025/HĐLĐ/TNE&amp;C</t>
  </si>
  <si>
    <t>Nguyễn Khánh Linh</t>
  </si>
  <si>
    <t>Phạm Thị Thanh Ngân</t>
  </si>
  <si>
    <t>006537/2026/HĐTV/TNE&amp;C</t>
  </si>
  <si>
    <t>006207/2026/HĐTV/TNE&amp;C</t>
  </si>
  <si>
    <t>006539/2026/HĐTV/TNE&amp;C</t>
  </si>
  <si>
    <t>P. KẾ HOẠCH ĐẤU THẦU</t>
  </si>
  <si>
    <t>Trịnh An Thuận</t>
  </si>
  <si>
    <t>006543/2026/HĐTV/TNE&amp;C</t>
  </si>
  <si>
    <t>DANH SÁCH THEO DÕI KÝ HĐTV, HĐLĐ</t>
  </si>
  <si>
    <t>PHỤ CẤP</t>
  </si>
  <si>
    <t>TỔNG THU NHẬP</t>
  </si>
  <si>
    <t>NGÀY ĐIỀU CHỈNH LƯƠNG GẦN NHẤT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</si>
</sst>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C09]dd/mm/yyyy;@"/>
  </numFmts>
  <fonts count="8">
    <font>
      <sz val="10"/>
      <color rgb="FF000000"/>
      <name val="Calibri"/>
      <family val="2"/>
      <scheme val="minor"/>
    </font>
    <font>
      <b/>
      <sz val="12"/>
      <color theme="1"/>
      <name val="&quot;Myriad Pro&quot;"/>
    </font>
    <font>
      <sz val="12"/>
      <color theme="1"/>
      <name val="&quot;Myriad Pro&quot;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0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B0F0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1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3" fillId="0" borderId="1" xfId="0" applyFont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14" fontId="1" fillId="2" borderId="2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14" fontId="2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164" fontId="2" fillId="0" borderId="2" xfId="0" applyNumberFormat="1" applyFont="1" applyBorder="1" applyAlignment="1">
      <alignment horizontal="right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14" fontId="2" fillId="3" borderId="2" xfId="0" applyNumberFormat="1" applyFont="1" applyFill="1" applyBorder="1" applyAlignment="1">
      <alignment horizontal="left"/>
    </xf>
    <xf numFmtId="14" fontId="2" fillId="3" borderId="2" xfId="0" applyNumberFormat="1" applyFont="1" applyFill="1" applyBorder="1" applyAlignment="1">
      <alignment horizontal="right"/>
    </xf>
    <xf numFmtId="0" fontId="2" fillId="3" borderId="2" xfId="0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right"/>
    </xf>
    <xf numFmtId="0" fontId="0" fillId="3" borderId="0" xfId="0" applyFill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14" fontId="4" fillId="0" borderId="2" xfId="0" applyNumberFormat="1" applyFont="1" applyBorder="1" applyAlignment="1">
      <alignment horizontal="right"/>
    </xf>
    <xf numFmtId="164" fontId="4" fillId="0" borderId="2" xfId="0" applyNumberFormat="1" applyFont="1" applyBorder="1" applyAlignment="1">
      <alignment horizontal="right"/>
    </xf>
    <xf numFmtId="0" fontId="4" fillId="4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left"/>
    </xf>
    <xf numFmtId="14" fontId="4" fillId="3" borderId="2" xfId="0" applyNumberFormat="1" applyFont="1" applyFill="1" applyBorder="1" applyAlignment="1">
      <alignment horizontal="right"/>
    </xf>
    <xf numFmtId="164" fontId="4" fillId="3" borderId="2" xfId="0" applyNumberFormat="1" applyFont="1" applyFill="1" applyBorder="1" applyAlignment="1">
      <alignment horizontal="right"/>
    </xf>
    <xf numFmtId="164" fontId="0" fillId="0" borderId="0" xfId="0" applyNumberFormat="1"/>
    <xf numFmtId="14" fontId="0" fillId="0" borderId="0" xfId="0" applyNumberFormat="1"/>
    <xf numFmtId="0" fontId="5" fillId="0" borderId="0" xfId="0" applyFont="1"/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4" fontId="4" fillId="0" borderId="2" xfId="0" applyNumberFormat="1" applyFont="1" applyBorder="1" applyAlignment="1">
      <alignment horizontal="left"/>
    </xf>
    <xf numFmtId="14" fontId="2" fillId="0" borderId="2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2" fillId="0" borderId="2" xfId="0" applyFont="1" applyBorder="1"/>
    <xf numFmtId="14" fontId="2" fillId="0" borderId="0" xfId="0" applyNumberFormat="1" applyFont="1" applyAlignment="1">
      <alignment horizontal="left"/>
    </xf>
    <xf numFmtId="14" fontId="3" fillId="0" borderId="1" xfId="0" applyNumberFormat="1" applyFont="1" applyBorder="1" applyAlignment="1">
      <alignment horizontal="left"/>
    </xf>
    <xf numFmtId="14" fontId="1" fillId="2" borderId="2" xfId="0" applyNumberFormat="1" applyFont="1" applyFill="1" applyBorder="1" applyAlignment="1">
      <alignment horizontal="left"/>
    </xf>
    <xf numFmtId="14" fontId="4" fillId="3" borderId="2" xfId="0" applyNumberFormat="1" applyFont="1" applyFill="1" applyBorder="1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rungnamgroupcomvn.sharepoint.com/sites/TNEC/Shared%20Documents/HCNS/1.%20NHAN%20SU/1.%20C&amp;B/TNEC%20NEW/1.%20QUAN%20LY%20NHAN%20SU/DANH%20SACH%20CBNV/TNE&amp;C%20NEW%20-%20HCNS%20-%20DSNV%20TNE&amp;C%20NEW%202026.xlsx" TargetMode="External"/><Relationship Id="rId1" Type="http://schemas.openxmlformats.org/officeDocument/2006/relationships/externalLinkPath" Target="https://trungnamgroupcomvn.sharepoint.com/sites/TNEC/Shared%20Documents/HCNS/1.%20NHAN%20SU/1.%20C&amp;B/TNEC%20NEW/1.%20QUAN%20LY%20NHAN%20SU/DANH%20SACH%20CBNV/TNE&amp;C%20NEW%20-%20HCNS%20-%20DSNV%20TNE&amp;C%20NEW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6"/>
      <sheetName val="T5"/>
      <sheetName val="T4"/>
      <sheetName val="T3"/>
      <sheetName val="T2"/>
      <sheetName val="T1"/>
      <sheetName val="nghỉ việc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">
          <cell r="C3">
            <v>4</v>
          </cell>
          <cell r="D3"/>
          <cell r="E3"/>
        </row>
        <row r="4">
          <cell r="C4">
            <v>8</v>
          </cell>
          <cell r="D4">
            <v>4</v>
          </cell>
          <cell r="E4">
            <v>4</v>
          </cell>
        </row>
        <row r="5">
          <cell r="C5">
            <v>1</v>
          </cell>
          <cell r="D5">
            <v>1</v>
          </cell>
          <cell r="E5">
            <v>1</v>
          </cell>
        </row>
        <row r="6">
          <cell r="C6">
            <v>6</v>
          </cell>
          <cell r="D6"/>
          <cell r="E6">
            <v>2</v>
          </cell>
        </row>
        <row r="7">
          <cell r="C7">
            <v>8</v>
          </cell>
          <cell r="D7">
            <v>5</v>
          </cell>
          <cell r="E7"/>
        </row>
        <row r="8">
          <cell r="C8">
            <v>4</v>
          </cell>
          <cell r="D8">
            <v>1</v>
          </cell>
          <cell r="E8"/>
        </row>
        <row r="9">
          <cell r="C9">
            <v>2</v>
          </cell>
          <cell r="D9"/>
          <cell r="E9">
            <v>1</v>
          </cell>
        </row>
        <row r="10">
          <cell r="C10">
            <v>3</v>
          </cell>
          <cell r="D10">
            <v>1</v>
          </cell>
          <cell r="E10">
            <v>1</v>
          </cell>
        </row>
        <row r="11">
          <cell r="C11">
            <v>7</v>
          </cell>
          <cell r="D11"/>
          <cell r="E11"/>
        </row>
        <row r="12">
          <cell r="C12">
            <v>10</v>
          </cell>
          <cell r="D12">
            <v>1</v>
          </cell>
          <cell r="E12">
            <v>3</v>
          </cell>
        </row>
        <row r="13">
          <cell r="C13">
            <v>1</v>
          </cell>
          <cell r="D13">
            <v>4</v>
          </cell>
          <cell r="E13">
            <v>1</v>
          </cell>
        </row>
        <row r="14">
          <cell r="C14"/>
          <cell r="D14"/>
          <cell r="E14"/>
        </row>
        <row r="15">
          <cell r="C15"/>
          <cell r="D15">
            <v>2</v>
          </cell>
          <cell r="E15"/>
        </row>
        <row r="16">
          <cell r="C16">
            <v>2</v>
          </cell>
          <cell r="D16"/>
          <cell r="E16"/>
        </row>
        <row r="17">
          <cell r="C17">
            <v>1</v>
          </cell>
          <cell r="D17"/>
          <cell r="E17"/>
        </row>
        <row r="18">
          <cell r="C18">
            <v>1</v>
          </cell>
          <cell r="D18">
            <v>1</v>
          </cell>
          <cell r="E18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03B51-018E-4062-934A-E5C9BBF86B69}">
  <sheetPr codeName="Sheet1">
    <outlinePr summaryBelow="0" summaryRight="0"/>
  </sheetPr>
  <dimension ref="A1:Q69"/>
  <sheetViews>
    <sheetView tabSelected="1" zoomScale="85" zoomScaleNormal="85" workbookViewId="0">
      <selection activeCell="A38" sqref="A38:XFD38"/>
    </sheetView>
  </sheetViews>
  <sheetFormatPr defaultColWidth="13.85546875" defaultRowHeight="12.75"/>
  <cols>
    <col min="1" max="1" width="6.28515625" customWidth="1"/>
    <col min="2" max="2" width="6.85546875" customWidth="1"/>
    <col min="3" max="3" width="9.85546875" customWidth="1"/>
    <col min="4" max="4" width="34.28515625" customWidth="1"/>
    <col min="5" max="5" width="13.85546875" style="33" customWidth="1"/>
    <col min="6" max="6" width="31.5703125" style="47" customWidth="1"/>
    <col min="7" max="8" width="17.85546875" customWidth="1"/>
    <col min="9" max="9" width="28.85546875" style="40" customWidth="1"/>
    <col min="10" max="10" width="25.85546875" customWidth="1"/>
    <col min="11" max="12" width="19.7109375" style="32" customWidth="1"/>
    <col min="14" max="14" width="16.85546875" customWidth="1"/>
    <col min="15" max="15" width="15.42578125" customWidth="1"/>
    <col min="16" max="16" width="15" customWidth="1"/>
    <col min="17" max="17" width="18.85546875" customWidth="1"/>
  </cols>
  <sheetData>
    <row r="1" spans="1:17" ht="15.75">
      <c r="A1" s="54" t="s">
        <v>0</v>
      </c>
      <c r="B1" s="55"/>
      <c r="C1" s="55"/>
      <c r="D1" s="55"/>
      <c r="E1" s="1"/>
      <c r="F1" s="43"/>
      <c r="G1" s="2"/>
      <c r="H1" s="2"/>
      <c r="I1" s="35"/>
      <c r="J1" s="2"/>
      <c r="K1" s="3"/>
      <c r="L1" s="3"/>
    </row>
    <row r="2" spans="1:17" ht="15.75" customHeight="1">
      <c r="A2" s="53" t="s">
        <v>134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48"/>
      <c r="P2" s="48"/>
      <c r="Q2" s="48"/>
    </row>
    <row r="4" spans="1:17" ht="15.75">
      <c r="A4" s="4"/>
      <c r="B4" s="4"/>
      <c r="C4" s="4"/>
      <c r="D4" s="4"/>
      <c r="E4" s="5"/>
      <c r="F4" s="44"/>
      <c r="G4" s="4"/>
      <c r="H4" s="4"/>
      <c r="I4" s="36"/>
      <c r="J4" s="4"/>
      <c r="K4" s="6"/>
      <c r="L4" s="6"/>
    </row>
    <row r="5" spans="1:17" s="8" customFormat="1" ht="15.75" customHeight="1">
      <c r="A5" s="49" t="s">
        <v>1</v>
      </c>
      <c r="B5" s="49" t="s">
        <v>2</v>
      </c>
      <c r="C5" s="49" t="s">
        <v>3</v>
      </c>
      <c r="D5" s="49" t="s">
        <v>4</v>
      </c>
      <c r="E5" s="49" t="s">
        <v>5</v>
      </c>
      <c r="F5" s="56" t="s">
        <v>67</v>
      </c>
      <c r="G5" s="51" t="s">
        <v>6</v>
      </c>
      <c r="H5" s="52"/>
      <c r="I5" s="49" t="s">
        <v>70</v>
      </c>
      <c r="J5" s="49" t="s">
        <v>71</v>
      </c>
      <c r="K5" s="51" t="s">
        <v>7</v>
      </c>
      <c r="L5" s="52"/>
      <c r="M5" s="49" t="s">
        <v>74</v>
      </c>
      <c r="N5" s="49" t="s">
        <v>75</v>
      </c>
      <c r="O5" s="49" t="s">
        <v>135</v>
      </c>
      <c r="P5" s="49" t="s">
        <v>136</v>
      </c>
      <c r="Q5" s="49" t="s">
        <v>137</v>
      </c>
    </row>
    <row r="6" spans="1:17" s="8" customFormat="1" ht="39.75" customHeight="1">
      <c r="A6" s="50"/>
      <c r="B6" s="50"/>
      <c r="C6" s="50"/>
      <c r="D6" s="50"/>
      <c r="E6" s="50"/>
      <c r="F6" s="57"/>
      <c r="G6" s="7" t="s">
        <v>68</v>
      </c>
      <c r="H6" s="7" t="s">
        <v>69</v>
      </c>
      <c r="I6" s="50"/>
      <c r="J6" s="50"/>
      <c r="K6" s="7" t="s">
        <v>72</v>
      </c>
      <c r="L6" s="7" t="s">
        <v>73</v>
      </c>
      <c r="M6" s="50"/>
      <c r="N6" s="50"/>
      <c r="O6" s="50"/>
      <c r="P6" s="50"/>
      <c r="Q6" s="50"/>
    </row>
    <row r="7" spans="1:17" ht="15.75">
      <c r="A7" s="9"/>
      <c r="B7" s="9"/>
      <c r="C7" s="9" t="s">
        <v>8</v>
      </c>
      <c r="D7" s="9"/>
      <c r="E7" s="10"/>
      <c r="F7" s="45"/>
      <c r="G7" s="9"/>
      <c r="H7" s="9"/>
      <c r="I7" s="37"/>
      <c r="J7" s="9"/>
      <c r="K7" s="11"/>
      <c r="L7" s="11"/>
      <c r="M7" s="9"/>
      <c r="N7" s="9"/>
      <c r="O7" s="9"/>
      <c r="P7" s="9"/>
      <c r="Q7" s="9"/>
    </row>
    <row r="8" spans="1:17" ht="15">
      <c r="A8" s="12">
        <f>IF(D8&lt;&gt;"",COUNTA($D8:D$8),"---")</f>
        <v>1</v>
      </c>
      <c r="B8" s="12">
        <f>IF(D8&lt;&gt;"",COUNTA($D8:D$8),"---")</f>
        <v>1</v>
      </c>
      <c r="C8" s="12">
        <v>3335</v>
      </c>
      <c r="D8" s="13" t="s">
        <v>9</v>
      </c>
      <c r="E8" s="14">
        <v>45659</v>
      </c>
      <c r="F8" s="39"/>
      <c r="G8" s="15"/>
      <c r="H8" s="15"/>
      <c r="I8" s="13" t="s">
        <v>125</v>
      </c>
      <c r="J8" s="13" t="s">
        <v>77</v>
      </c>
      <c r="K8" s="16">
        <v>46113</v>
      </c>
      <c r="L8" s="16"/>
      <c r="M8" s="15"/>
      <c r="N8" s="15"/>
      <c r="O8" s="15"/>
      <c r="P8" s="15"/>
      <c r="Q8" s="15"/>
    </row>
    <row r="9" spans="1:17" ht="15">
      <c r="A9" s="12">
        <f>IF(D9&lt;&gt;"",COUNTA($D$8:D9),"---")</f>
        <v>2</v>
      </c>
      <c r="B9" s="12">
        <f>IF(D9&lt;&gt;"",COUNTA($D$8:D9),"---")</f>
        <v>2</v>
      </c>
      <c r="C9" s="12">
        <v>5497</v>
      </c>
      <c r="D9" s="13" t="s">
        <v>10</v>
      </c>
      <c r="E9" s="14">
        <v>45663</v>
      </c>
      <c r="F9" s="43"/>
      <c r="G9" s="2"/>
      <c r="H9" s="2"/>
      <c r="I9" s="13" t="s">
        <v>118</v>
      </c>
      <c r="J9" s="13" t="s">
        <v>77</v>
      </c>
      <c r="K9" s="16">
        <v>45663</v>
      </c>
      <c r="L9" s="16"/>
      <c r="M9" s="2"/>
      <c r="N9" s="2"/>
      <c r="O9" s="2"/>
      <c r="P9" s="2"/>
      <c r="Q9" s="2"/>
    </row>
    <row r="10" spans="1:17" ht="15">
      <c r="A10" s="12">
        <f>IF(D10&lt;&gt;"",COUNTA($D$8:D10),"---")</f>
        <v>3</v>
      </c>
      <c r="B10" s="12">
        <f>IF(D10&lt;&gt;"",COUNTA($D$8:D10),"---")</f>
        <v>3</v>
      </c>
      <c r="C10" s="12">
        <v>5858</v>
      </c>
      <c r="D10" s="13" t="s">
        <v>11</v>
      </c>
      <c r="E10" s="14" t="s">
        <v>12</v>
      </c>
      <c r="F10" s="39"/>
      <c r="G10" s="15"/>
      <c r="H10" s="15"/>
      <c r="I10" s="13" t="s">
        <v>119</v>
      </c>
      <c r="J10" s="13" t="s">
        <v>77</v>
      </c>
      <c r="K10" s="16" t="s">
        <v>12</v>
      </c>
      <c r="L10" s="16"/>
      <c r="M10" s="15"/>
      <c r="N10" s="15"/>
      <c r="O10" s="15"/>
      <c r="P10" s="15"/>
      <c r="Q10" s="15"/>
    </row>
    <row r="11" spans="1:17" ht="15">
      <c r="A11" s="12">
        <f>IF(D11&lt;&gt;"",COUNTA($D$8:D11),"---")</f>
        <v>4</v>
      </c>
      <c r="B11" s="12">
        <f>IF(D11&lt;&gt;"",COUNTA($D$8:D11),"---")</f>
        <v>4</v>
      </c>
      <c r="C11" s="12">
        <v>5585</v>
      </c>
      <c r="D11" s="13" t="s">
        <v>13</v>
      </c>
      <c r="E11" s="14">
        <v>45717</v>
      </c>
      <c r="F11" s="39"/>
      <c r="G11" s="15"/>
      <c r="H11" s="15"/>
      <c r="I11" s="13" t="s">
        <v>120</v>
      </c>
      <c r="J11" s="13" t="s">
        <v>77</v>
      </c>
      <c r="K11" s="16">
        <v>45717</v>
      </c>
      <c r="L11" s="16"/>
      <c r="M11" s="15"/>
      <c r="N11" s="15"/>
      <c r="O11" s="15"/>
      <c r="P11" s="15"/>
      <c r="Q11" s="15"/>
    </row>
    <row r="12" spans="1:17" ht="15.75">
      <c r="A12" s="9"/>
      <c r="B12" s="9"/>
      <c r="C12" s="9" t="s">
        <v>14</v>
      </c>
      <c r="D12" s="9"/>
      <c r="E12" s="10"/>
      <c r="F12" s="45"/>
      <c r="G12" s="9"/>
      <c r="H12" s="9"/>
      <c r="I12" s="37"/>
      <c r="J12" s="9"/>
      <c r="K12" s="11"/>
      <c r="L12" s="11"/>
      <c r="M12" s="9"/>
      <c r="N12" s="9"/>
      <c r="O12" s="9"/>
      <c r="P12" s="9"/>
      <c r="Q12" s="9"/>
    </row>
    <row r="13" spans="1:17" s="23" customFormat="1" ht="15">
      <c r="A13" s="17">
        <f>IF(D13&lt;&gt;"",COUNTA($D$8:D13),"---")</f>
        <v>5</v>
      </c>
      <c r="B13" s="17">
        <f>IF(D13&lt;&gt;"",COUNTA($D$13:D13),"---")</f>
        <v>1</v>
      </c>
      <c r="C13" s="17">
        <v>139</v>
      </c>
      <c r="D13" s="18" t="s">
        <v>15</v>
      </c>
      <c r="E13" s="20">
        <v>45839</v>
      </c>
      <c r="F13" s="19"/>
      <c r="G13" s="21"/>
      <c r="H13" s="21"/>
      <c r="I13" s="18" t="s">
        <v>76</v>
      </c>
      <c r="J13" s="18" t="s">
        <v>77</v>
      </c>
      <c r="K13" s="22">
        <v>45839</v>
      </c>
      <c r="L13" s="22"/>
      <c r="M13" s="21"/>
      <c r="N13" s="21"/>
      <c r="O13" s="21"/>
      <c r="P13" s="21"/>
      <c r="Q13" s="21"/>
    </row>
    <row r="14" spans="1:17" ht="15">
      <c r="A14" s="12">
        <f>IF(D14&lt;&gt;"",COUNTA($D$8:D14),"---")</f>
        <v>6</v>
      </c>
      <c r="B14" s="12">
        <f>IF(D14&lt;&gt;"",COUNTA($D$13:D14),"---")</f>
        <v>2</v>
      </c>
      <c r="C14" s="24">
        <v>6145</v>
      </c>
      <c r="D14" s="25" t="s">
        <v>16</v>
      </c>
      <c r="E14" s="26">
        <v>46083</v>
      </c>
      <c r="F14" s="38"/>
      <c r="G14" s="26"/>
      <c r="H14" s="26"/>
      <c r="I14" s="13" t="s">
        <v>78</v>
      </c>
      <c r="J14" s="13" t="s">
        <v>77</v>
      </c>
      <c r="K14" s="27">
        <v>46083</v>
      </c>
      <c r="L14" s="27"/>
      <c r="M14" s="26"/>
      <c r="N14" s="26"/>
      <c r="O14" s="26"/>
      <c r="P14" s="26"/>
      <c r="Q14" s="26"/>
    </row>
    <row r="15" spans="1:17" ht="15">
      <c r="A15" s="12">
        <f>IF(D15&lt;&gt;"",COUNTA($D$8:D15),"---")</f>
        <v>7</v>
      </c>
      <c r="B15" s="12">
        <f>IF(D15&lt;&gt;"",COUNTA($D$13:D15),"---")</f>
        <v>3</v>
      </c>
      <c r="C15" s="24">
        <v>6409</v>
      </c>
      <c r="D15" s="25" t="s">
        <v>17</v>
      </c>
      <c r="E15" s="26">
        <v>46153</v>
      </c>
      <c r="F15" s="13" t="s">
        <v>79</v>
      </c>
      <c r="G15" s="26">
        <v>46153</v>
      </c>
      <c r="H15" s="26">
        <v>46213</v>
      </c>
      <c r="I15" s="13"/>
      <c r="J15" s="13"/>
      <c r="K15" s="27"/>
      <c r="L15" s="27"/>
      <c r="M15" s="26"/>
      <c r="N15" s="26"/>
      <c r="O15" s="26"/>
      <c r="P15" s="26"/>
      <c r="Q15" s="26"/>
    </row>
    <row r="16" spans="1:17" ht="15">
      <c r="A16" s="12">
        <f>IF(D16&lt;&gt;"",COUNTA($D$8:D16),"---")</f>
        <v>8</v>
      </c>
      <c r="B16" s="12">
        <f>IF(D16&lt;&gt;"",COUNTA($D$13:D16),"---")</f>
        <v>4</v>
      </c>
      <c r="C16" s="12">
        <v>5774</v>
      </c>
      <c r="D16" s="13" t="s">
        <v>18</v>
      </c>
      <c r="E16" s="14" t="s">
        <v>19</v>
      </c>
      <c r="F16" s="39"/>
      <c r="G16" s="15"/>
      <c r="H16" s="15"/>
      <c r="I16" s="13" t="s">
        <v>82</v>
      </c>
      <c r="J16" s="13" t="s">
        <v>83</v>
      </c>
      <c r="K16" s="16" t="s">
        <v>19</v>
      </c>
      <c r="L16" s="16">
        <v>46216</v>
      </c>
      <c r="M16" s="15"/>
      <c r="N16" s="15"/>
      <c r="O16" s="15"/>
      <c r="P16" s="15"/>
      <c r="Q16" s="15"/>
    </row>
    <row r="17" spans="1:17" s="24" customFormat="1" ht="15">
      <c r="A17" s="24">
        <f>IF(D17&lt;&gt;"",COUNTA($D$8:D17),"---")</f>
        <v>9</v>
      </c>
      <c r="B17" s="24">
        <f>IF(D17&lt;&gt;"",COUNTA($D$13:D17),"---")</f>
        <v>5</v>
      </c>
      <c r="C17" s="24">
        <v>6338</v>
      </c>
      <c r="D17" s="25" t="s">
        <v>20</v>
      </c>
      <c r="E17" s="26">
        <v>46133</v>
      </c>
      <c r="F17" s="13" t="s">
        <v>80</v>
      </c>
      <c r="G17" s="26">
        <v>46133</v>
      </c>
      <c r="H17" s="26">
        <v>46193</v>
      </c>
      <c r="I17" s="13"/>
      <c r="J17" s="13"/>
      <c r="K17" s="27"/>
      <c r="L17" s="27"/>
      <c r="M17" s="26"/>
      <c r="N17" s="26"/>
      <c r="O17" s="26"/>
      <c r="P17" s="26"/>
      <c r="Q17" s="26"/>
    </row>
    <row r="18" spans="1:17" ht="15">
      <c r="A18" s="12">
        <f>IF(D18&lt;&gt;"",COUNTA($D$8:D18),"---")</f>
        <v>10</v>
      </c>
      <c r="B18" s="12">
        <f>IF(D18&lt;&gt;"",COUNTA($D$13:D18),"---")</f>
        <v>6</v>
      </c>
      <c r="C18" s="12">
        <v>802</v>
      </c>
      <c r="D18" s="13" t="s">
        <v>21</v>
      </c>
      <c r="E18" s="26" t="s">
        <v>22</v>
      </c>
      <c r="F18" s="38" t="s">
        <v>117</v>
      </c>
      <c r="G18" s="26" t="s">
        <v>22</v>
      </c>
      <c r="H18" s="26">
        <v>43597</v>
      </c>
      <c r="I18" s="13" t="s">
        <v>84</v>
      </c>
      <c r="J18" s="42" t="s">
        <v>77</v>
      </c>
      <c r="K18" s="14">
        <v>44329</v>
      </c>
      <c r="L18" s="14"/>
      <c r="M18" s="26"/>
      <c r="N18" s="26"/>
      <c r="O18" s="26"/>
      <c r="P18" s="26"/>
      <c r="Q18" s="26"/>
    </row>
    <row r="19" spans="1:17" ht="15">
      <c r="A19" s="12">
        <f>IF(D19&lt;&gt;"",COUNTA($D$8:D19),"---")</f>
        <v>11</v>
      </c>
      <c r="B19" s="12">
        <f>IF(D19&lt;&gt;"",COUNTA($D$13:D19),"---")</f>
        <v>7</v>
      </c>
      <c r="C19" s="12">
        <v>5897</v>
      </c>
      <c r="D19" s="13" t="s">
        <v>23</v>
      </c>
      <c r="E19" s="26" t="s">
        <v>24</v>
      </c>
      <c r="F19" s="13" t="s">
        <v>116</v>
      </c>
      <c r="G19" s="26" t="s">
        <v>24</v>
      </c>
      <c r="H19" s="26">
        <v>45990</v>
      </c>
      <c r="I19" s="13" t="s">
        <v>85</v>
      </c>
      <c r="J19" s="13" t="s">
        <v>83</v>
      </c>
      <c r="K19" s="14">
        <v>45991</v>
      </c>
      <c r="L19" s="14">
        <v>46355</v>
      </c>
      <c r="M19" s="26"/>
      <c r="N19" s="26"/>
      <c r="O19" s="26"/>
      <c r="P19" s="26"/>
      <c r="Q19" s="26"/>
    </row>
    <row r="20" spans="1:17" ht="15">
      <c r="A20" s="24">
        <f>IF(D20&lt;&gt;"",COUNTA($D$8:D20),"---")</f>
        <v>12</v>
      </c>
      <c r="B20" s="24">
        <f>IF(D20&lt;&gt;"",COUNTA($D$13:D20),"---")</f>
        <v>8</v>
      </c>
      <c r="C20" s="24">
        <v>6207</v>
      </c>
      <c r="D20" s="25" t="s">
        <v>25</v>
      </c>
      <c r="E20" s="26" t="s">
        <v>26</v>
      </c>
      <c r="F20" s="13" t="s">
        <v>129</v>
      </c>
      <c r="G20" s="26" t="s">
        <v>26</v>
      </c>
      <c r="H20" s="26">
        <v>46127</v>
      </c>
      <c r="I20" s="13" t="s">
        <v>86</v>
      </c>
      <c r="J20" s="13" t="s">
        <v>83</v>
      </c>
      <c r="K20" s="26" t="s">
        <v>27</v>
      </c>
      <c r="L20" s="26">
        <v>46492</v>
      </c>
      <c r="M20" s="26"/>
      <c r="N20" s="26"/>
      <c r="O20" s="26"/>
      <c r="P20" s="26"/>
      <c r="Q20" s="26"/>
    </row>
    <row r="21" spans="1:17" ht="15">
      <c r="A21" s="24">
        <f>IF(D21&lt;&gt;"",COUNTA($D$8:D21),"---")</f>
        <v>13</v>
      </c>
      <c r="B21" s="24">
        <f>IF(D21&lt;&gt;"",COUNTA($D$13:D21),"---")</f>
        <v>9</v>
      </c>
      <c r="C21" s="24">
        <v>6537</v>
      </c>
      <c r="D21" s="25" t="s">
        <v>126</v>
      </c>
      <c r="E21" s="26">
        <v>46188</v>
      </c>
      <c r="F21" s="13" t="s">
        <v>128</v>
      </c>
      <c r="G21" s="26">
        <v>46188</v>
      </c>
      <c r="H21" s="26">
        <v>46248</v>
      </c>
      <c r="I21" s="13"/>
      <c r="J21" s="13"/>
      <c r="K21" s="26"/>
      <c r="L21" s="26"/>
      <c r="M21" s="26"/>
      <c r="N21" s="26"/>
      <c r="O21" s="26"/>
      <c r="P21" s="26"/>
      <c r="Q21" s="26"/>
    </row>
    <row r="22" spans="1:17" ht="15">
      <c r="A22" s="24">
        <f>IF(D22&lt;&gt;"",COUNTA($D$8:D22),"---")</f>
        <v>14</v>
      </c>
      <c r="B22" s="24">
        <f>IF(D22&lt;&gt;"",COUNTA($D$13:D22),"---")</f>
        <v>10</v>
      </c>
      <c r="C22" s="24">
        <v>6539</v>
      </c>
      <c r="D22" s="25" t="s">
        <v>127</v>
      </c>
      <c r="E22" s="26">
        <v>46188</v>
      </c>
      <c r="F22" s="13" t="s">
        <v>130</v>
      </c>
      <c r="G22" s="26">
        <v>46188</v>
      </c>
      <c r="H22" s="26">
        <v>46248</v>
      </c>
      <c r="I22" s="13"/>
      <c r="J22" s="13"/>
      <c r="K22" s="26"/>
      <c r="L22" s="26"/>
      <c r="M22" s="26"/>
      <c r="N22" s="26"/>
      <c r="O22" s="26"/>
      <c r="P22" s="26"/>
      <c r="Q22" s="26"/>
    </row>
    <row r="23" spans="1:17" ht="15">
      <c r="A23" s="24">
        <f>IF(D23&lt;&gt;"",COUNTA($D$8:D23),"---")</f>
        <v>15</v>
      </c>
      <c r="B23" s="24">
        <f>IF(D23&lt;&gt;"",COUNTA($D$13:D23),"---")</f>
        <v>11</v>
      </c>
      <c r="C23" s="24">
        <v>6543</v>
      </c>
      <c r="D23" s="25" t="s">
        <v>132</v>
      </c>
      <c r="E23" s="26">
        <v>46188</v>
      </c>
      <c r="F23" s="13" t="s">
        <v>133</v>
      </c>
      <c r="G23" s="26">
        <v>46188</v>
      </c>
      <c r="H23" s="26">
        <v>46248</v>
      </c>
      <c r="I23" s="13"/>
      <c r="J23" s="13"/>
      <c r="K23" s="26"/>
      <c r="L23" s="26"/>
      <c r="M23" s="26"/>
      <c r="N23" s="26"/>
      <c r="O23" s="26"/>
      <c r="P23" s="26"/>
      <c r="Q23" s="26"/>
    </row>
    <row r="24" spans="1:17" s="23" customFormat="1" ht="15">
      <c r="A24" s="17">
        <f>IF(D24&lt;&gt;"",COUNTA($D$8:D24),"---")</f>
        <v>16</v>
      </c>
      <c r="B24" s="17">
        <f>IF(D24&lt;&gt;"",COUNTA($D$13:D24),"---")</f>
        <v>12</v>
      </c>
      <c r="C24" s="17">
        <v>4552</v>
      </c>
      <c r="D24" s="18" t="s">
        <v>28</v>
      </c>
      <c r="E24" s="20">
        <v>45717</v>
      </c>
      <c r="F24" s="19"/>
      <c r="G24" s="21"/>
      <c r="H24" s="21"/>
      <c r="I24" s="18" t="s">
        <v>87</v>
      </c>
      <c r="J24" s="18" t="s">
        <v>77</v>
      </c>
      <c r="K24" s="22">
        <v>45717</v>
      </c>
      <c r="L24" s="22"/>
      <c r="M24" s="21"/>
      <c r="N24" s="21"/>
      <c r="O24" s="21"/>
      <c r="P24" s="21"/>
      <c r="Q24" s="21"/>
    </row>
    <row r="25" spans="1:17" s="23" customFormat="1" ht="15">
      <c r="A25" s="17">
        <f>IF(D25&lt;&gt;"",COUNTA($D$8:D25),"---")</f>
        <v>17</v>
      </c>
      <c r="B25" s="17">
        <f>IF(D25&lt;&gt;"",COUNTA($D$13:D25),"---")</f>
        <v>13</v>
      </c>
      <c r="C25" s="17">
        <v>60</v>
      </c>
      <c r="D25" s="18" t="s">
        <v>29</v>
      </c>
      <c r="E25" s="20">
        <v>45809</v>
      </c>
      <c r="F25" s="19"/>
      <c r="G25" s="21"/>
      <c r="H25" s="21"/>
      <c r="I25" s="18" t="s">
        <v>88</v>
      </c>
      <c r="J25" s="18" t="s">
        <v>77</v>
      </c>
      <c r="K25" s="22">
        <v>45809</v>
      </c>
      <c r="L25" s="22"/>
      <c r="M25" s="21"/>
      <c r="N25" s="21"/>
      <c r="O25" s="21"/>
      <c r="P25" s="21"/>
      <c r="Q25" s="21"/>
    </row>
    <row r="26" spans="1:17" ht="15">
      <c r="A26" s="12">
        <f>IF(D26&lt;&gt;"",COUNTA($D$8:D26),"---")</f>
        <v>18</v>
      </c>
      <c r="B26" s="12">
        <f>IF(D26&lt;&gt;"",COUNTA($D$13:D26),"---")</f>
        <v>14</v>
      </c>
      <c r="C26" s="12">
        <v>5535</v>
      </c>
      <c r="D26" s="13" t="s">
        <v>30</v>
      </c>
      <c r="E26" s="14">
        <v>45755</v>
      </c>
      <c r="F26" s="13" t="s">
        <v>115</v>
      </c>
      <c r="G26" s="14">
        <v>45755</v>
      </c>
      <c r="H26" s="14">
        <v>45784</v>
      </c>
      <c r="I26" s="13" t="s">
        <v>89</v>
      </c>
      <c r="J26" s="13" t="s">
        <v>83</v>
      </c>
      <c r="K26" s="16">
        <v>46150</v>
      </c>
      <c r="L26" s="16">
        <v>46514</v>
      </c>
      <c r="M26" s="14"/>
      <c r="N26" s="14"/>
      <c r="O26" s="14"/>
      <c r="P26" s="14"/>
      <c r="Q26" s="14"/>
    </row>
    <row r="27" spans="1:17" ht="15">
      <c r="A27" s="24">
        <f>IF(D27&lt;&gt;"",COUNTA($D$8:D27),"---")</f>
        <v>19</v>
      </c>
      <c r="B27" s="24">
        <f>IF(D27&lt;&gt;"",COUNTA($D$13:D27),"---")</f>
        <v>15</v>
      </c>
      <c r="C27" s="24">
        <v>6305</v>
      </c>
      <c r="D27" s="25" t="s">
        <v>31</v>
      </c>
      <c r="E27" s="26">
        <v>46125</v>
      </c>
      <c r="F27" s="13" t="s">
        <v>81</v>
      </c>
      <c r="G27" s="26">
        <v>46125</v>
      </c>
      <c r="H27" s="26">
        <v>46154</v>
      </c>
      <c r="I27" s="13" t="s">
        <v>90</v>
      </c>
      <c r="J27" s="13" t="s">
        <v>83</v>
      </c>
      <c r="K27" s="26">
        <v>46155</v>
      </c>
      <c r="L27" s="26">
        <v>46519</v>
      </c>
      <c r="M27" s="26"/>
      <c r="N27" s="26"/>
      <c r="O27" s="26"/>
      <c r="P27" s="26"/>
      <c r="Q27" s="26"/>
    </row>
    <row r="28" spans="1:17" ht="15">
      <c r="A28" s="12">
        <f>IF(D28&lt;&gt;"",COUNTA($D$8:D28),"---")</f>
        <v>20</v>
      </c>
      <c r="B28" s="12">
        <f>IF(D28&lt;&gt;"",COUNTA($D$13:D28),"---")</f>
        <v>16</v>
      </c>
      <c r="C28" s="12">
        <v>5767</v>
      </c>
      <c r="D28" s="13" t="s">
        <v>32</v>
      </c>
      <c r="E28" s="14" t="s">
        <v>33</v>
      </c>
      <c r="F28" s="13" t="s">
        <v>114</v>
      </c>
      <c r="G28" s="15" t="s">
        <v>33</v>
      </c>
      <c r="H28" s="14">
        <v>45883</v>
      </c>
      <c r="I28" s="13" t="s">
        <v>91</v>
      </c>
      <c r="J28" s="13" t="s">
        <v>83</v>
      </c>
      <c r="K28" s="16" t="s">
        <v>34</v>
      </c>
      <c r="L28" s="16">
        <v>46248</v>
      </c>
      <c r="M28" s="15"/>
      <c r="N28" s="15"/>
      <c r="O28" s="15"/>
      <c r="P28" s="15"/>
      <c r="Q28" s="15"/>
    </row>
    <row r="29" spans="1:17" s="23" customFormat="1" ht="15">
      <c r="A29" s="17">
        <f>IF(D29&lt;&gt;"",COUNTA($D$8:D29),"---")</f>
        <v>21</v>
      </c>
      <c r="B29" s="17">
        <f>IF(D29&lt;&gt;"",COUNTA($D$13:D29),"---")</f>
        <v>17</v>
      </c>
      <c r="C29" s="17">
        <v>5924</v>
      </c>
      <c r="D29" s="18" t="s">
        <v>35</v>
      </c>
      <c r="E29" s="20" t="s">
        <v>36</v>
      </c>
      <c r="F29" s="19"/>
      <c r="G29" s="21"/>
      <c r="H29" s="21"/>
      <c r="I29" s="18" t="s">
        <v>92</v>
      </c>
      <c r="J29" s="18" t="s">
        <v>77</v>
      </c>
      <c r="K29" s="22" t="s">
        <v>36</v>
      </c>
      <c r="L29" s="22"/>
      <c r="M29" s="21"/>
      <c r="N29" s="21"/>
      <c r="O29" s="21"/>
      <c r="P29" s="21"/>
      <c r="Q29" s="21"/>
    </row>
    <row r="30" spans="1:17" ht="15.75">
      <c r="A30" s="9"/>
      <c r="B30" s="9"/>
      <c r="C30" s="9" t="s">
        <v>37</v>
      </c>
      <c r="D30" s="9"/>
      <c r="E30" s="10"/>
      <c r="F30" s="45"/>
      <c r="G30" s="9"/>
      <c r="H30" s="9"/>
      <c r="I30" s="37"/>
      <c r="J30" s="9"/>
      <c r="K30" s="11"/>
      <c r="L30" s="11"/>
      <c r="M30" s="9"/>
      <c r="N30" s="9"/>
      <c r="O30" s="9"/>
      <c r="P30" s="9"/>
      <c r="Q30" s="9"/>
    </row>
    <row r="31" spans="1:17" s="23" customFormat="1" ht="15">
      <c r="A31" s="17">
        <f>IF(D31&lt;&gt;"",COUNTA($D$8:D31),"---")</f>
        <v>22</v>
      </c>
      <c r="B31" s="17">
        <f>IF(D31&lt;&gt;"",COUNTA($D$31:D31),"---")</f>
        <v>1</v>
      </c>
      <c r="C31" s="17">
        <v>5582</v>
      </c>
      <c r="D31" s="18" t="s">
        <v>38</v>
      </c>
      <c r="E31" s="20">
        <v>45870</v>
      </c>
      <c r="F31" s="19"/>
      <c r="G31" s="21"/>
      <c r="H31" s="21"/>
      <c r="I31" s="18"/>
      <c r="J31" s="21"/>
      <c r="K31" s="22">
        <v>46235</v>
      </c>
      <c r="L31" s="22"/>
      <c r="M31" s="21"/>
      <c r="N31" s="21"/>
      <c r="O31" s="21"/>
      <c r="P31" s="21"/>
      <c r="Q31" s="21"/>
    </row>
    <row r="32" spans="1:17" ht="15">
      <c r="A32" s="24">
        <f>IF(D32&lt;&gt;"",COUNTA($D$8:D32),"---")</f>
        <v>23</v>
      </c>
      <c r="B32" s="24">
        <f>IF(D32&lt;&gt;"",COUNTA($D$31:D32),"---")</f>
        <v>2</v>
      </c>
      <c r="C32" s="24">
        <v>6267</v>
      </c>
      <c r="D32" s="25" t="s">
        <v>39</v>
      </c>
      <c r="E32" s="26">
        <v>46113</v>
      </c>
      <c r="F32" s="13" t="s">
        <v>113</v>
      </c>
      <c r="G32" s="26">
        <v>46113</v>
      </c>
      <c r="H32" s="26">
        <v>46173</v>
      </c>
      <c r="I32" s="38" t="s">
        <v>93</v>
      </c>
      <c r="J32" s="13" t="s">
        <v>83</v>
      </c>
      <c r="K32" s="26">
        <v>46174</v>
      </c>
      <c r="L32" s="26">
        <v>46538</v>
      </c>
      <c r="M32" s="26"/>
      <c r="N32" s="26"/>
      <c r="O32" s="26"/>
      <c r="P32" s="26"/>
      <c r="Q32" s="26"/>
    </row>
    <row r="33" spans="1:17" ht="15.75">
      <c r="A33" s="9" t="s">
        <v>40</v>
      </c>
      <c r="B33" s="9"/>
      <c r="C33" s="9" t="s">
        <v>41</v>
      </c>
      <c r="D33" s="9"/>
      <c r="E33" s="10"/>
      <c r="F33" s="45"/>
      <c r="G33" s="9"/>
      <c r="H33" s="9"/>
      <c r="I33" s="37"/>
      <c r="J33" s="9"/>
      <c r="K33" s="11"/>
      <c r="L33" s="11"/>
      <c r="M33" s="9"/>
      <c r="N33" s="9"/>
      <c r="O33" s="9"/>
      <c r="P33" s="9"/>
      <c r="Q33" s="9"/>
    </row>
    <row r="34" spans="1:17" s="23" customFormat="1" ht="15">
      <c r="A34" s="17">
        <f>IF(D34&lt;&gt;"",COUNTA($D$8:D34),"---")</f>
        <v>24</v>
      </c>
      <c r="B34" s="17">
        <f>IF(D34&lt;&gt;"",COUNTA($D$34:D34),"---")</f>
        <v>1</v>
      </c>
      <c r="C34" s="17">
        <v>2876</v>
      </c>
      <c r="D34" s="18" t="s">
        <v>42</v>
      </c>
      <c r="E34" s="20">
        <v>45717</v>
      </c>
      <c r="F34" s="19"/>
      <c r="G34" s="21"/>
      <c r="H34" s="21"/>
      <c r="I34" s="18" t="s">
        <v>94</v>
      </c>
      <c r="J34" s="18" t="s">
        <v>77</v>
      </c>
      <c r="K34" s="20">
        <v>45717</v>
      </c>
      <c r="L34" s="20"/>
      <c r="M34" s="21"/>
      <c r="N34" s="21"/>
      <c r="O34" s="21"/>
      <c r="P34" s="21"/>
      <c r="Q34" s="21"/>
    </row>
    <row r="35" spans="1:17" s="24" customFormat="1" ht="15">
      <c r="A35" s="24">
        <f>IF(D35&lt;&gt;"",COUNTA($D$8:D35),"---")</f>
        <v>25</v>
      </c>
      <c r="B35" s="24">
        <f>IF(D35&lt;&gt;"",COUNTA($D$34:D35),"---")</f>
        <v>2</v>
      </c>
      <c r="C35" s="24">
        <v>6381</v>
      </c>
      <c r="D35" s="25" t="s">
        <v>43</v>
      </c>
      <c r="E35" s="26">
        <v>46146</v>
      </c>
      <c r="F35" s="13" t="s">
        <v>95</v>
      </c>
      <c r="G35" s="26">
        <v>46146</v>
      </c>
      <c r="H35" s="26">
        <v>46206</v>
      </c>
      <c r="I35" s="38"/>
      <c r="J35" s="26"/>
      <c r="K35" s="26">
        <v>46207</v>
      </c>
      <c r="L35" s="26"/>
      <c r="M35" s="26"/>
      <c r="N35" s="26"/>
      <c r="O35" s="26"/>
      <c r="P35" s="26"/>
      <c r="Q35" s="26"/>
    </row>
    <row r="36" spans="1:17" ht="15">
      <c r="A36" s="12">
        <f>IF(D36&lt;&gt;"",COUNTA($D$8:D36),"---")</f>
        <v>26</v>
      </c>
      <c r="B36" s="12">
        <f>IF(D36&lt;&gt;"",COUNTA($D$34:D36),"---")</f>
        <v>3</v>
      </c>
      <c r="C36" s="12">
        <v>5428</v>
      </c>
      <c r="D36" s="13" t="s">
        <v>44</v>
      </c>
      <c r="E36" s="14">
        <v>45721</v>
      </c>
      <c r="F36" s="39"/>
      <c r="G36" s="15"/>
      <c r="H36" s="15"/>
      <c r="I36" s="13" t="s">
        <v>101</v>
      </c>
      <c r="J36" s="13" t="s">
        <v>77</v>
      </c>
      <c r="K36" s="16">
        <v>46086</v>
      </c>
      <c r="L36" s="16"/>
      <c r="M36" s="15"/>
      <c r="N36" s="15"/>
      <c r="O36" s="15"/>
      <c r="P36" s="15"/>
      <c r="Q36" s="15"/>
    </row>
    <row r="37" spans="1:17" ht="15">
      <c r="A37" s="12">
        <f>IF(D37&lt;&gt;"",COUNTA($D$8:D37),"---")</f>
        <v>27</v>
      </c>
      <c r="B37" s="12">
        <f>IF(D37&lt;&gt;"",COUNTA($D$34:D37),"---")</f>
        <v>4</v>
      </c>
      <c r="C37" s="12">
        <v>5866</v>
      </c>
      <c r="D37" s="13" t="s">
        <v>45</v>
      </c>
      <c r="E37" s="14">
        <v>45908</v>
      </c>
      <c r="F37" s="13" t="s">
        <v>112</v>
      </c>
      <c r="G37" s="14">
        <v>45908</v>
      </c>
      <c r="H37" s="14">
        <v>45968</v>
      </c>
      <c r="I37" s="13" t="s">
        <v>102</v>
      </c>
      <c r="J37" s="13" t="s">
        <v>83</v>
      </c>
      <c r="K37" s="16">
        <v>45969</v>
      </c>
      <c r="L37" s="16">
        <v>46333</v>
      </c>
      <c r="M37" s="14"/>
      <c r="N37" s="14"/>
      <c r="O37" s="14"/>
      <c r="P37" s="14"/>
      <c r="Q37" s="14"/>
    </row>
    <row r="38" spans="1:17" ht="15">
      <c r="A38" s="12">
        <f>IF(D38&lt;&gt;"",COUNTA($D$8:D38),"---")</f>
        <v>28</v>
      </c>
      <c r="B38" s="12">
        <f>IF(D38&lt;&gt;"",COUNTA($D$34:D38),"---")</f>
        <v>5</v>
      </c>
      <c r="C38" s="12">
        <v>6045</v>
      </c>
      <c r="D38" s="13" t="s">
        <v>46</v>
      </c>
      <c r="E38" s="14" t="s">
        <v>47</v>
      </c>
      <c r="F38" s="13" t="s">
        <v>96</v>
      </c>
      <c r="G38" s="15" t="s">
        <v>47</v>
      </c>
      <c r="H38" s="14">
        <v>46074</v>
      </c>
      <c r="I38" s="13" t="s">
        <v>103</v>
      </c>
      <c r="J38" s="13" t="s">
        <v>83</v>
      </c>
      <c r="K38" s="16" t="s">
        <v>48</v>
      </c>
      <c r="L38" s="16">
        <v>46408</v>
      </c>
      <c r="M38" s="15"/>
      <c r="N38" s="15"/>
      <c r="O38" s="15"/>
      <c r="P38" s="15"/>
      <c r="Q38" s="15"/>
    </row>
    <row r="39" spans="1:17" ht="15.75">
      <c r="A39" s="9"/>
      <c r="B39" s="9"/>
      <c r="C39" s="9" t="s">
        <v>131</v>
      </c>
      <c r="D39" s="9"/>
      <c r="E39" s="10"/>
      <c r="F39" s="45"/>
      <c r="G39" s="9"/>
      <c r="H39" s="9"/>
      <c r="I39" s="37"/>
      <c r="J39" s="9"/>
      <c r="K39" s="11"/>
      <c r="L39" s="11"/>
      <c r="M39" s="9"/>
      <c r="N39" s="9"/>
      <c r="O39" s="9"/>
      <c r="P39" s="9"/>
      <c r="Q39" s="9"/>
    </row>
    <row r="40" spans="1:17" s="24" customFormat="1" ht="15">
      <c r="A40" s="12">
        <f>IF(D40&lt;&gt;"",COUNTA($D$8:D40),"---")</f>
        <v>29</v>
      </c>
      <c r="B40" s="12">
        <f>IF(D40&lt;&gt;"",COUNTA($D$40:D40),"---")</f>
        <v>1</v>
      </c>
      <c r="C40" s="24">
        <v>6377</v>
      </c>
      <c r="D40" s="25" t="s">
        <v>49</v>
      </c>
      <c r="E40" s="26">
        <v>46146</v>
      </c>
      <c r="F40" s="13" t="s">
        <v>97</v>
      </c>
      <c r="G40" s="26">
        <v>46146</v>
      </c>
      <c r="H40" s="26">
        <v>46206</v>
      </c>
      <c r="I40" s="13"/>
      <c r="J40" s="13"/>
      <c r="K40" s="26"/>
      <c r="L40" s="26"/>
      <c r="M40" s="26"/>
      <c r="N40" s="26"/>
      <c r="O40" s="26"/>
      <c r="P40" s="26"/>
      <c r="Q40" s="26"/>
    </row>
    <row r="41" spans="1:17" ht="15">
      <c r="A41" s="12">
        <f>IF(D41&lt;&gt;"",COUNTA($D$8:D41),"---")</f>
        <v>30</v>
      </c>
      <c r="B41" s="12">
        <f>IF(D41&lt;&gt;"",COUNTA($D$40:D41),"---")</f>
        <v>2</v>
      </c>
      <c r="C41" s="12">
        <v>5804</v>
      </c>
      <c r="D41" s="13" t="s">
        <v>50</v>
      </c>
      <c r="E41" s="14">
        <v>45873</v>
      </c>
      <c r="F41" s="13" t="s">
        <v>98</v>
      </c>
      <c r="G41" s="14">
        <v>45873</v>
      </c>
      <c r="H41" s="14">
        <v>45933</v>
      </c>
      <c r="I41" s="13" t="s">
        <v>104</v>
      </c>
      <c r="J41" s="13" t="s">
        <v>83</v>
      </c>
      <c r="K41" s="16">
        <v>45934</v>
      </c>
      <c r="L41" s="16">
        <v>46298</v>
      </c>
      <c r="M41" s="14"/>
      <c r="N41" s="14"/>
      <c r="O41" s="14"/>
      <c r="P41" s="14"/>
      <c r="Q41" s="14"/>
    </row>
    <row r="42" spans="1:17" ht="15">
      <c r="A42" s="12">
        <f>IF(D42&lt;&gt;"",COUNTA($D$8:D42),"---")</f>
        <v>31</v>
      </c>
      <c r="B42" s="12">
        <f>IF(D42&lt;&gt;"",COUNTA($D$40:D42),"---")</f>
        <v>3</v>
      </c>
      <c r="C42" s="12">
        <v>5730</v>
      </c>
      <c r="D42" s="13" t="s">
        <v>51</v>
      </c>
      <c r="E42" s="14" t="s">
        <v>52</v>
      </c>
      <c r="F42" s="13" t="s">
        <v>99</v>
      </c>
      <c r="G42" s="15" t="s">
        <v>52</v>
      </c>
      <c r="H42" s="14">
        <v>45891</v>
      </c>
      <c r="I42" s="13" t="s">
        <v>103</v>
      </c>
      <c r="J42" s="13" t="s">
        <v>83</v>
      </c>
      <c r="K42" s="16" t="s">
        <v>53</v>
      </c>
      <c r="L42" s="16">
        <v>46256</v>
      </c>
      <c r="M42" s="15"/>
      <c r="N42" s="15"/>
      <c r="O42" s="15"/>
      <c r="P42" s="15"/>
      <c r="Q42" s="15"/>
    </row>
    <row r="43" spans="1:17" ht="15">
      <c r="A43" s="12">
        <f>IF(D43&lt;&gt;"",COUNTA($D$8:D43),"---")</f>
        <v>32</v>
      </c>
      <c r="B43" s="12">
        <f>IF(D43&lt;&gt;"",COUNTA($D$40:D43),"---")</f>
        <v>4</v>
      </c>
      <c r="C43" s="12">
        <v>5595</v>
      </c>
      <c r="D43" s="13" t="s">
        <v>54</v>
      </c>
      <c r="E43" s="14">
        <v>45782</v>
      </c>
      <c r="F43" s="13" t="s">
        <v>100</v>
      </c>
      <c r="G43" s="14">
        <v>45782</v>
      </c>
      <c r="H43" s="14">
        <v>45842</v>
      </c>
      <c r="I43" s="13" t="s">
        <v>103</v>
      </c>
      <c r="J43" s="13" t="s">
        <v>83</v>
      </c>
      <c r="K43" s="16">
        <v>45843</v>
      </c>
      <c r="L43" s="16">
        <v>46207</v>
      </c>
      <c r="M43" s="14"/>
      <c r="N43" s="14"/>
      <c r="O43" s="14"/>
      <c r="P43" s="14"/>
      <c r="Q43" s="14"/>
    </row>
    <row r="44" spans="1:17" ht="15">
      <c r="A44" s="12">
        <f>IF(D44&lt;&gt;"",COUNTA($D$8:D44),"---")</f>
        <v>33</v>
      </c>
      <c r="B44" s="12">
        <f>IF(D44&lt;&gt;"",COUNTA($D$40:D44),"---")</f>
        <v>5</v>
      </c>
      <c r="C44" s="24">
        <v>6147</v>
      </c>
      <c r="D44" s="25" t="s">
        <v>55</v>
      </c>
      <c r="E44" s="26">
        <v>46083</v>
      </c>
      <c r="F44" s="13" t="s">
        <v>105</v>
      </c>
      <c r="G44" s="26">
        <v>46144</v>
      </c>
      <c r="H44" s="26">
        <v>46204</v>
      </c>
      <c r="I44" s="13"/>
      <c r="J44" s="13"/>
      <c r="K44" s="27"/>
      <c r="L44" s="27"/>
      <c r="M44" s="26"/>
      <c r="N44" s="26"/>
      <c r="O44" s="26"/>
      <c r="P44" s="26"/>
      <c r="Q44" s="26"/>
    </row>
    <row r="45" spans="1:17" ht="15">
      <c r="A45" s="24">
        <f>IF(D45&lt;&gt;"",COUNTA($D$8:D45),"---")</f>
        <v>34</v>
      </c>
      <c r="B45" s="12">
        <f>IF(D45&lt;&gt;"",COUNTA($D$40:D45),"---")</f>
        <v>6</v>
      </c>
      <c r="C45" s="24">
        <v>6302</v>
      </c>
      <c r="D45" s="25" t="s">
        <v>56</v>
      </c>
      <c r="E45" s="26">
        <v>46125</v>
      </c>
      <c r="F45" s="13" t="s">
        <v>106</v>
      </c>
      <c r="G45" s="26">
        <v>46125</v>
      </c>
      <c r="H45" s="26">
        <v>46185</v>
      </c>
      <c r="I45" s="13" t="s">
        <v>107</v>
      </c>
      <c r="J45" s="13" t="s">
        <v>83</v>
      </c>
      <c r="K45" s="27">
        <v>46186</v>
      </c>
      <c r="L45" s="27">
        <v>46550</v>
      </c>
      <c r="M45" s="26"/>
      <c r="N45" s="26"/>
      <c r="O45" s="26"/>
      <c r="P45" s="26"/>
      <c r="Q45" s="26"/>
    </row>
    <row r="46" spans="1:17" ht="15">
      <c r="A46" s="12">
        <f>IF(D46&lt;&gt;"",COUNTA($D$8:D46),"---")</f>
        <v>35</v>
      </c>
      <c r="B46" s="12">
        <f>IF(D46&lt;&gt;"",COUNTA($D$40:D46),"---")</f>
        <v>7</v>
      </c>
      <c r="C46" s="12">
        <v>5640</v>
      </c>
      <c r="D46" s="13" t="s">
        <v>57</v>
      </c>
      <c r="E46" s="14" t="s">
        <v>58</v>
      </c>
      <c r="F46" s="13" t="s">
        <v>121</v>
      </c>
      <c r="G46" s="15" t="s">
        <v>58</v>
      </c>
      <c r="H46" s="14">
        <v>45856</v>
      </c>
      <c r="I46" s="13" t="s">
        <v>109</v>
      </c>
      <c r="J46" s="13" t="s">
        <v>83</v>
      </c>
      <c r="K46" s="16" t="s">
        <v>59</v>
      </c>
      <c r="L46" s="16">
        <v>46221</v>
      </c>
      <c r="M46" s="15"/>
      <c r="N46" s="15"/>
      <c r="O46" s="15"/>
      <c r="P46" s="15"/>
      <c r="Q46" s="15"/>
    </row>
    <row r="47" spans="1:17" s="23" customFormat="1" ht="15">
      <c r="A47" s="28">
        <f>IF(D47&lt;&gt;"",COUNTA($D$8:D47),"---")</f>
        <v>36</v>
      </c>
      <c r="B47" s="12">
        <f>IF(D47&lt;&gt;"",COUNTA($D$40:D47),"---")</f>
        <v>8</v>
      </c>
      <c r="C47" s="28">
        <v>2873</v>
      </c>
      <c r="D47" s="29" t="s">
        <v>60</v>
      </c>
      <c r="E47" s="30">
        <v>46054</v>
      </c>
      <c r="F47" s="46"/>
      <c r="G47" s="21"/>
      <c r="H47" s="21"/>
      <c r="I47" s="18"/>
      <c r="J47" s="21"/>
      <c r="K47" s="31">
        <v>46024</v>
      </c>
      <c r="L47" s="31"/>
      <c r="M47" s="21"/>
      <c r="N47" s="21"/>
      <c r="O47" s="21"/>
      <c r="P47" s="21"/>
      <c r="Q47" s="21"/>
    </row>
    <row r="48" spans="1:17" ht="15.75">
      <c r="A48" s="9"/>
      <c r="B48" s="9"/>
      <c r="C48" s="9" t="s">
        <v>61</v>
      </c>
      <c r="D48" s="9"/>
      <c r="E48" s="10"/>
      <c r="F48" s="45"/>
      <c r="G48" s="9"/>
      <c r="H48" s="9"/>
      <c r="I48" s="37"/>
      <c r="J48" s="9"/>
      <c r="K48" s="11"/>
      <c r="L48" s="11"/>
      <c r="M48" s="9"/>
      <c r="N48" s="9"/>
      <c r="O48" s="9"/>
      <c r="P48" s="9"/>
      <c r="Q48" s="9"/>
    </row>
    <row r="49" spans="1:17" ht="15">
      <c r="A49" s="12">
        <f>IF(D49&lt;&gt;"",COUNTA($D$8:D49),"---")</f>
        <v>37</v>
      </c>
      <c r="B49" s="12">
        <f>IF(D49&lt;&gt;"",COUNTA($D$40:D49),"---")</f>
        <v>9</v>
      </c>
      <c r="C49" s="12">
        <v>5778</v>
      </c>
      <c r="D49" s="13" t="s">
        <v>62</v>
      </c>
      <c r="E49" s="14" t="s">
        <v>63</v>
      </c>
      <c r="F49" s="13" t="s">
        <v>122</v>
      </c>
      <c r="G49" s="15" t="s">
        <v>63</v>
      </c>
      <c r="H49" s="14">
        <v>45920</v>
      </c>
      <c r="I49" s="13" t="s">
        <v>108</v>
      </c>
      <c r="J49" s="13" t="s">
        <v>83</v>
      </c>
      <c r="K49" s="16" t="s">
        <v>64</v>
      </c>
      <c r="L49" s="16">
        <v>46285</v>
      </c>
      <c r="M49" s="15"/>
      <c r="N49" s="15"/>
      <c r="O49" s="15"/>
      <c r="P49" s="15"/>
      <c r="Q49" s="15"/>
    </row>
    <row r="50" spans="1:17" ht="15">
      <c r="A50" s="12">
        <f>IF(D50&lt;&gt;"",COUNTA($D$8:D50),"---")</f>
        <v>38</v>
      </c>
      <c r="B50" s="12">
        <f>IF(D50&lt;&gt;"",COUNTA($D$40:D50),"---")</f>
        <v>10</v>
      </c>
      <c r="C50" s="12">
        <v>5610</v>
      </c>
      <c r="D50" s="13" t="s">
        <v>65</v>
      </c>
      <c r="E50" s="14">
        <v>45784</v>
      </c>
      <c r="F50" s="13" t="s">
        <v>124</v>
      </c>
      <c r="G50" s="14">
        <v>45784</v>
      </c>
      <c r="H50" s="14">
        <v>45844</v>
      </c>
      <c r="I50" s="13" t="s">
        <v>111</v>
      </c>
      <c r="J50" s="13" t="s">
        <v>83</v>
      </c>
      <c r="K50" s="16">
        <v>45845</v>
      </c>
      <c r="L50" s="16">
        <v>46209</v>
      </c>
      <c r="M50" s="14"/>
      <c r="N50" s="14"/>
      <c r="O50" s="14"/>
      <c r="P50" s="14"/>
      <c r="Q50" s="14"/>
    </row>
    <row r="51" spans="1:17" ht="15">
      <c r="A51" s="12">
        <f>IF(D51&lt;&gt;"",COUNTA($D$8:D51),"---")</f>
        <v>39</v>
      </c>
      <c r="B51" s="12">
        <f>IF(D51&lt;&gt;"",COUNTA($D$40:D51),"---")</f>
        <v>11</v>
      </c>
      <c r="C51" s="24">
        <v>6142</v>
      </c>
      <c r="D51" s="25" t="s">
        <v>66</v>
      </c>
      <c r="E51" s="26">
        <v>46083</v>
      </c>
      <c r="F51" s="13" t="s">
        <v>123</v>
      </c>
      <c r="G51" s="26">
        <v>46083</v>
      </c>
      <c r="H51" s="26">
        <v>46143</v>
      </c>
      <c r="I51" s="13" t="s">
        <v>110</v>
      </c>
      <c r="J51" s="13" t="s">
        <v>83</v>
      </c>
      <c r="K51" s="27">
        <v>46144</v>
      </c>
      <c r="L51" s="27">
        <v>46508</v>
      </c>
      <c r="M51" s="26"/>
      <c r="N51" s="26"/>
      <c r="O51" s="26"/>
      <c r="P51" s="26"/>
      <c r="Q51" s="26"/>
    </row>
    <row r="69" spans="5:12">
      <c r="E69" s="34">
        <f>SUM([1]Sheet1!C3:C18)</f>
        <v>58</v>
      </c>
      <c r="F69" s="41"/>
      <c r="G69" s="34">
        <f>SUM([1]Sheet1!D3:D18)</f>
        <v>20</v>
      </c>
      <c r="H69" s="34"/>
      <c r="I69" s="41"/>
      <c r="J69" s="34"/>
      <c r="K69" s="34">
        <f>SUM([1]Sheet1!E3:E18)</f>
        <v>13</v>
      </c>
      <c r="L69" s="34"/>
    </row>
  </sheetData>
  <autoFilter ref="A4:L51" xr:uid="{00000000-0001-0000-0100-000000000000}"/>
  <mergeCells count="17">
    <mergeCell ref="I5:I6"/>
    <mergeCell ref="K5:L5"/>
    <mergeCell ref="J5:J6"/>
    <mergeCell ref="A2:N2"/>
    <mergeCell ref="A1:D1"/>
    <mergeCell ref="G5:H5"/>
    <mergeCell ref="A5:A6"/>
    <mergeCell ref="B5:B6"/>
    <mergeCell ref="C5:C6"/>
    <mergeCell ref="D5:D6"/>
    <mergeCell ref="E5:E6"/>
    <mergeCell ref="F5:F6"/>
    <mergeCell ref="O5:O6"/>
    <mergeCell ref="P5:P6"/>
    <mergeCell ref="Q5:Q6"/>
    <mergeCell ref="M5:M6"/>
    <mergeCell ref="N5:N6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224F4531241CBE44A4D1CF295F03EA9B" ma:contentTypeVersion="19" ma:contentTypeDescription="Tạo tài liệu mới." ma:contentTypeScope="" ma:versionID="c1188e6b025db5355d4c7eb2c618ccff">
  <xsd:schema xmlns:xsd="http://www.w3.org/2001/XMLSchema" xmlns:xs="http://www.w3.org/2001/XMLSchema" xmlns:p="http://schemas.microsoft.com/office/2006/metadata/properties" xmlns:ns2="56c0a674-f1a9-459e-a246-e9e70a6ff57d" xmlns:ns3="9a6f809d-eb03-448d-8a8c-62d351b921f2" targetNamespace="http://schemas.microsoft.com/office/2006/metadata/properties" ma:root="true" ma:fieldsID="ba7c0c9b936cb3f44765723f395a5190" ns2:_="" ns3:_="">
    <xsd:import namespace="56c0a674-f1a9-459e-a246-e9e70a6ff57d"/>
    <xsd:import namespace="9a6f809d-eb03-448d-8a8c-62d351b921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c0a674-f1a9-459e-a246-e9e70a6ff5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hẻ Hình ảnh" ma:readOnly="false" ma:fieldId="{5cf76f15-5ced-4ddc-b409-7134ff3c332f}" ma:taxonomyMulti="true" ma:sspId="42110c13-54b5-44d3-a49e-99612ee6be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6f809d-eb03-448d-8a8c-62d351b921f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b46a561-3488-4b5e-8cb2-dc3cbe4d3744}" ma:internalName="TaxCatchAll" ma:showField="CatchAllData" ma:web="9a6f809d-eb03-448d-8a8c-62d351b921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c0a674-f1a9-459e-a246-e9e70a6ff57d">
      <Terms xmlns="http://schemas.microsoft.com/office/infopath/2007/PartnerControls"/>
    </lcf76f155ced4ddcb4097134ff3c332f>
    <TaxCatchAll xmlns="9a6f809d-eb03-448d-8a8c-62d351b921f2" xsi:nil="true"/>
  </documentManagement>
</p:properties>
</file>

<file path=customXml/itemProps1.xml><?xml version="1.0" encoding="utf-8"?>
<ds:datastoreItem xmlns:ds="http://schemas.openxmlformats.org/officeDocument/2006/customXml" ds:itemID="{FA2925BC-6BDF-42C4-A0A4-11B89D44BD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c0a674-f1a9-459e-a246-e9e70a6ff57d"/>
    <ds:schemaRef ds:uri="9a6f809d-eb03-448d-8a8c-62d351b921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5D352F-8909-44D4-A821-497CC4F4F2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BF0092-6234-4DBB-9678-A1667B55AB7E}">
  <ds:schemaRefs>
    <ds:schemaRef ds:uri="http://schemas.microsoft.com/office/2006/metadata/properties"/>
    <ds:schemaRef ds:uri="http://schemas.microsoft.com/office/infopath/2007/PartnerControls"/>
    <ds:schemaRef ds:uri="56c0a674-f1a9-459e-a246-e9e70a6ff57d"/>
    <ds:schemaRef ds:uri="9a6f809d-eb03-448d-8a8c-62d351b921f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Phuong, Lai Nguyen Lan</dc:creator>
  <cp:lastModifiedBy>tnec.mkt</cp:lastModifiedBy>
  <dcterms:created xsi:type="dcterms:W3CDTF">2026-06-15T09:01:09Z</dcterms:created>
  <dcterms:modified xsi:type="dcterms:W3CDTF">2026-06-25T01:55:55Z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0x010100224F4531241CBE44A4D1CF295F03EA9B</vt:lpwstr>
  </property>
  <property fmtid="{D5CDD505-2E9C-101B-9397-08002B2CF9AE}" pid="3" name="MediaServiceImageTags">
    <vt:lpwstr/>
  </property>
</Properties>
</file>