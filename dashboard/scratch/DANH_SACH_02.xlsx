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046EA5D-A90E-4AE2-AEF9-F89636200DFA}" xr6:coauthVersionLast="47" xr6:coauthVersionMax="47" xr10:uidLastSave="{00000000-0000-0000-0000-000000000000}"/>
  <bookViews>
    <workbookView xWindow="-120" yWindow="-120" windowWidth="38640" windowHeight="21120" xr2:uid="{90F8DC45-CD94-48EA-904F-5419332E56B9}"/>
  </bookViews>
  <sheets>
    <sheet name="T6" sheetId="1" r:id="rId1"/>
  </sheets>
  <externalReferences>
    <externalReference r:id="rId2"/>
  </externalReferences>
  <definedNames>
    <definedName name="_xlnm._FilterDatabase" localSheetId="0" hidden="1">'T6'!$A$4:$L$76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2" i="1" l="1"/>
  <c r="B42" i="1"/>
  <c r="A43" i="1"/>
  <c r="B43" i="1"/>
  <c r="B74" i="1"/>
  <c r="A74" i="1"/>
  <c r="A12" i="1"/>
  <c r="B12" i="1"/>
  <c r="A11" i="1"/>
  <c r="B11" i="1"/>
  <c r="B9" i="1"/>
  <c r="A9" i="1"/>
  <c r="B8" i="1"/>
  <c r="A8" i="1"/>
  <c r="K96" i="1"/>
  <c r="G96" i="1"/>
  <c r="E96" i="1"/>
  <c r="B76" i="1"/>
  <c r="A76" i="1"/>
  <c r="B73" i="1"/>
  <c r="A73" i="1"/>
  <c r="B71" i="1"/>
  <c r="A71" i="1"/>
  <c r="B70" i="1"/>
  <c r="A70" i="1"/>
  <c r="B69" i="1"/>
  <c r="A69" i="1"/>
  <c r="B68" i="1"/>
  <c r="A68" i="1"/>
  <c r="B67" i="1"/>
  <c r="A67" i="1"/>
  <c r="B65" i="1"/>
  <c r="A65" i="1"/>
  <c r="B64" i="1"/>
  <c r="A64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1" i="1"/>
  <c r="A41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1" i="1"/>
  <c r="A31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0" i="1"/>
  <c r="A20" i="1"/>
  <c r="B19" i="1"/>
  <c r="A19" i="1"/>
  <c r="B18" i="1"/>
  <c r="A18" i="1"/>
  <c r="B16" i="1"/>
  <c r="A16" i="1"/>
  <c r="B15" i="1"/>
  <c r="A15" i="1"/>
  <c r="B14" i="1"/>
  <c r="A14" i="1"/>
  <c r="B10" i="1"/>
  <c r="A10" i="1"/>
</calcChain>
</file>

<file path=xl/sharedStrings.xml><?xml version="1.0" encoding="utf-8"?>
<sst xmlns="http://schemas.openxmlformats.org/spreadsheetml/2006/main" count="279" uniqueCount="205">
  <si>
    <t>CÔNG TY CP XÂY DỰNG VÀ LẮP MÁY TRUNG NAM</t>
  </si>
  <si>
    <t>STT TỔNG</t>
  </si>
  <si>
    <t>STT</t>
  </si>
  <si>
    <t>MÃ NHÂN VIÊN</t>
  </si>
  <si>
    <t>HỌ TÊN</t>
  </si>
  <si>
    <t>NGÀY NHẬN VIỆC</t>
  </si>
  <si>
    <t>NGÀY KÝ HĐ THỬ VIỆC</t>
  </si>
  <si>
    <t>NGÀY KÝ HĐLĐ</t>
  </si>
  <si>
    <t>18/08/2025</t>
  </si>
  <si>
    <t>16/03/2026</t>
  </si>
  <si>
    <t>16/04/2026</t>
  </si>
  <si>
    <t>---</t>
  </si>
  <si>
    <t>Nguyễn Hữu Vinh</t>
  </si>
  <si>
    <t>Nguyễn Anh Dũng</t>
  </si>
  <si>
    <t>Ngô Xuân Việt</t>
  </si>
  <si>
    <t>23/03/2026</t>
  </si>
  <si>
    <t>23/05/2026</t>
  </si>
  <si>
    <t>P. KỸ THUẬT</t>
  </si>
  <si>
    <t xml:space="preserve">Nguyễn Anh Quốc </t>
  </si>
  <si>
    <t>20/03/2025</t>
  </si>
  <si>
    <t>Trương Bảo Quốc</t>
  </si>
  <si>
    <t>Trần Việt Văn</t>
  </si>
  <si>
    <t>16/05/2026</t>
  </si>
  <si>
    <t>P. AN TOÀN LAO ĐỘNG</t>
  </si>
  <si>
    <t>Thạch Bảo Ân</t>
  </si>
  <si>
    <t>Lê Hữu Dư</t>
  </si>
  <si>
    <t>Nguyễn Minh Thảo</t>
  </si>
  <si>
    <t>18/10/2025</t>
  </si>
  <si>
    <t>P. TÀI CHÍNH KẾ TOÁN</t>
  </si>
  <si>
    <t>Vũ Thị Hoa</t>
  </si>
  <si>
    <t>21/05/2018</t>
  </si>
  <si>
    <t>21/06/2018</t>
  </si>
  <si>
    <t>Lê Trần Trung Hiếu</t>
  </si>
  <si>
    <t>Đinh Đức Tâm</t>
  </si>
  <si>
    <t>Phạm Thị Luyến</t>
  </si>
  <si>
    <t>19/08/2024</t>
  </si>
  <si>
    <t>Nguyễn Thị Hồng Hạnh</t>
  </si>
  <si>
    <t>21/03/2022</t>
  </si>
  <si>
    <t>21/05/2022</t>
  </si>
  <si>
    <t>Vũ Thị Thu Hà</t>
  </si>
  <si>
    <t>Nguyễn Thị Hương</t>
  </si>
  <si>
    <t>Đặng Thị Thanh Trúc</t>
  </si>
  <si>
    <t>BCH HƯƠNG LỘ 11</t>
  </si>
  <si>
    <t>Vũ Phạm Hoàng Giang</t>
  </si>
  <si>
    <t>BCH GÓI THẦU XỬ LÝ NƯỚC THẢI TÂY NINH</t>
  </si>
  <si>
    <t>Phạm Tánh</t>
  </si>
  <si>
    <t>27/10/2025</t>
  </si>
  <si>
    <t>27/12/2025</t>
  </si>
  <si>
    <t>Hàng Phạm Hoài Thanh</t>
  </si>
  <si>
    <t>20/10/2025</t>
  </si>
  <si>
    <t>20/12/2025</t>
  </si>
  <si>
    <t>Phú Thành Hảo</t>
  </si>
  <si>
    <t>Bùi Tân Hiếu</t>
  </si>
  <si>
    <t>Nguyễn Thị Thái Dương</t>
  </si>
  <si>
    <t>17/11/2025</t>
  </si>
  <si>
    <t>17/01/2026</t>
  </si>
  <si>
    <t>Nguyễn Duy Khanh</t>
  </si>
  <si>
    <t>Lâm Thị Thu Vân</t>
  </si>
  <si>
    <t>17/12/2025</t>
  </si>
  <si>
    <t>BCH RẠCH XUYÊN TÂM</t>
  </si>
  <si>
    <t>Đoàn Văn Tú</t>
  </si>
  <si>
    <t>Đặng Đình Quyền</t>
  </si>
  <si>
    <t>Trần Xuân Thìn</t>
  </si>
  <si>
    <t>Nguyễn Hữu Nghị</t>
  </si>
  <si>
    <t>Phạm Quang Phú</t>
  </si>
  <si>
    <t>Lê Hoàng Anh</t>
  </si>
  <si>
    <t>Nguyễn Lê Cường</t>
  </si>
  <si>
    <t>Trần Đức Anh</t>
  </si>
  <si>
    <t>17/03/2026</t>
  </si>
  <si>
    <t>17/05/2026</t>
  </si>
  <si>
    <t>Vũ Thanh Long</t>
  </si>
  <si>
    <t>BAN ĐIỀU HÀNH ĐIỆN MẶT TRỜI TRÀ VINH</t>
  </si>
  <si>
    <t>Đỗ Duy Khương</t>
  </si>
  <si>
    <t>Nguyễn Thanh Tấn</t>
  </si>
  <si>
    <t>Phan Thị Ái Loan</t>
  </si>
  <si>
    <t>24/11/2025</t>
  </si>
  <si>
    <t>24/12/2025</t>
  </si>
  <si>
    <t>Phạm Trung Hậu</t>
  </si>
  <si>
    <t>Nguyễn Hoàng Ngay</t>
  </si>
  <si>
    <t>Nguyễn Khắc Quy</t>
  </si>
  <si>
    <t>Đỗ Nam Khang</t>
  </si>
  <si>
    <t>Nguyễn Thanh Long</t>
  </si>
  <si>
    <t>15/11/2025</t>
  </si>
  <si>
    <t>Lê Trọng Nghĩa</t>
  </si>
  <si>
    <t>Trần Tiến Danh</t>
  </si>
  <si>
    <t>Trương Huy Hoàng</t>
  </si>
  <si>
    <t>DA CÀ Ná</t>
  </si>
  <si>
    <t>Nguyễn Văn Bảy</t>
  </si>
  <si>
    <t>Vũ Hữu Khoa</t>
  </si>
  <si>
    <t>23/02/2026</t>
  </si>
  <si>
    <t>23/04/2026</t>
  </si>
  <si>
    <t>DA Cống Âu Thuyền Vàm Lẽo</t>
  </si>
  <si>
    <t>Hồ Hoàng Cường</t>
  </si>
  <si>
    <t>Nguyễn Minh Chí</t>
  </si>
  <si>
    <t>Nguyễn Văn Định</t>
  </si>
  <si>
    <t>Hà Quốc Chưởng</t>
  </si>
  <si>
    <t>Phạm Hoàng Đảo</t>
  </si>
  <si>
    <t>DA TL8 + Đồng Nai</t>
  </si>
  <si>
    <t>Nguyễn Vĩnh Thái</t>
  </si>
  <si>
    <t>DA Cầu Mã Đà</t>
  </si>
  <si>
    <t xml:space="preserve">Lâm Sĩ Thắng </t>
  </si>
  <si>
    <t>SỐ HĐTV</t>
  </si>
  <si>
    <t>TỪ NGÀY</t>
  </si>
  <si>
    <t>ĐẾN NGÀY</t>
  </si>
  <si>
    <t>SỐ HĐLĐ</t>
  </si>
  <si>
    <t>LOẠI HĐLĐ</t>
  </si>
  <si>
    <t>NGÀY HIỆU LỰC</t>
  </si>
  <si>
    <t>NGÀY HẾT HẠN</t>
  </si>
  <si>
    <t>MỨC LƯƠNG BHXH</t>
  </si>
  <si>
    <t>THƯỞNG HIỆU QUẢ CÔNG VIỆC</t>
  </si>
  <si>
    <t>Không xác định thời hạn</t>
  </si>
  <si>
    <t>Xác định thời hạn</t>
  </si>
  <si>
    <t>006377/2026/HĐTV/TNE&amp;C</t>
  </si>
  <si>
    <t>005804/2025/HĐTV/TNE&amp;C</t>
  </si>
  <si>
    <t>005595/2025/HĐTV/TNE&amp;C</t>
  </si>
  <si>
    <t>005804/2025/HĐLĐ/TNE&amp;C</t>
  </si>
  <si>
    <t>006227/2026/HĐTV/TNE&amp;C</t>
  </si>
  <si>
    <t>006227/2026/HĐLĐ/TNE&amp;C</t>
  </si>
  <si>
    <t>005492/2026/HĐLĐ/TNE&amp;C</t>
  </si>
  <si>
    <t>006208/2026/HĐLĐ/TNE&amp;C</t>
  </si>
  <si>
    <t>002178/2025/HĐLĐ/TNE&amp;C</t>
  </si>
  <si>
    <t>005492/2026/HĐTV/TNE&amp;C</t>
  </si>
  <si>
    <t>005898/2025/HĐTV/TNE&amp;C</t>
  </si>
  <si>
    <t>006209/2026/HĐTV/TNE&amp;C</t>
  </si>
  <si>
    <t>005828/2025/HĐLĐ/TNE&amp;C</t>
  </si>
  <si>
    <t>006208/2026/HĐTV/TNE&amp;C</t>
  </si>
  <si>
    <t>005828/2025/HĐTV/TNE&amp;C</t>
  </si>
  <si>
    <t>005828/2026/HĐLĐ/TNE&amp;C</t>
  </si>
  <si>
    <t>005168/2026/HĐLĐ/TNE&amp;C</t>
  </si>
  <si>
    <t>005144/2026/HĐLĐ/TNE&amp;C</t>
  </si>
  <si>
    <t>003722/2026/HĐLĐ/TNE&amp;C</t>
  </si>
  <si>
    <t>005744/2026/HĐLĐ/TNE&amp;C</t>
  </si>
  <si>
    <t>005595/2026/HĐLĐ/TNE&amp;C</t>
  </si>
  <si>
    <t>006433/2026/HĐLĐ/TNE&amp;C</t>
  </si>
  <si>
    <t>006332/2026/HĐLĐ/TNE&amp;C</t>
  </si>
  <si>
    <t>006183/2026/HĐLĐ/TNE&amp;C</t>
  </si>
  <si>
    <t>006512/2026/HĐTV/TNE&amp;C</t>
  </si>
  <si>
    <t>006138/2026/HĐLĐ/TNE&amp;C</t>
  </si>
  <si>
    <t>005845/2026/HĐLĐ/TNE&amp;C</t>
  </si>
  <si>
    <t>006071/2026/HĐLĐ/TNE&amp;C</t>
  </si>
  <si>
    <t>006071/2025/HĐTV/TNE&amp;C</t>
  </si>
  <si>
    <t>006384/2026/HĐTV/TNE&amp;C</t>
  </si>
  <si>
    <t>006316/2026/HĐTV/TNE&amp;C</t>
  </si>
  <si>
    <t>006183/2026/HĐTV/TNE&amp;C</t>
  </si>
  <si>
    <t>006332/2026/HĐTV/TNE&amp;C</t>
  </si>
  <si>
    <t>006433/2026/HĐTV/TNE&amp;C</t>
  </si>
  <si>
    <t>006335/2026/HĐTV/TNE&amp;C</t>
  </si>
  <si>
    <t>006312/2026/HĐTV/TNE&amp;C</t>
  </si>
  <si>
    <t>006316/2026/HĐLĐ/TNE&amp;C</t>
  </si>
  <si>
    <t>006312/2026/HĐLĐ/TNE&amp;C</t>
  </si>
  <si>
    <t>004875/2026/HĐLĐ/TNE&amp;C</t>
  </si>
  <si>
    <t>005471/2025/HĐLĐ/TNE&amp;C</t>
  </si>
  <si>
    <t>004203/2025/HĐLĐ/TNE&amp;C</t>
  </si>
  <si>
    <t>006224/2025/HĐTV/TNE&amp;C</t>
  </si>
  <si>
    <t>006182/2025/HĐTV/TNE&amp;C</t>
  </si>
  <si>
    <t>006159/2025/HĐTV/TNE&amp;C</t>
  </si>
  <si>
    <t>006001/2025/HĐTV/TNE&amp;C</t>
  </si>
  <si>
    <t>005957/2025/HĐTV/TNE&amp;C</t>
  </si>
  <si>
    <t>005957/2025/HĐLĐ/TNE&amp;C</t>
  </si>
  <si>
    <t>006001/2025/HĐLĐ/TNE&amp;C</t>
  </si>
  <si>
    <t>006159/2025/HĐLĐ/TNE&amp;C</t>
  </si>
  <si>
    <t>006182/2025/HĐLĐ/TNE&amp;C</t>
  </si>
  <si>
    <t>006224/2025/HĐLĐ/TNE&amp;C</t>
  </si>
  <si>
    <t>004218/2025/HĐLĐ/TNE&amp;C</t>
  </si>
  <si>
    <t>006048/2025/HĐTV/TNE&amp;C</t>
  </si>
  <si>
    <t>006337/2025/HĐTV/TNE&amp;C</t>
  </si>
  <si>
    <t>006226/2025/HĐTV/TNE&amp;C</t>
  </si>
  <si>
    <t>006386/2025/HĐTV/TNE&amp;C</t>
  </si>
  <si>
    <t>006415/2025/HĐTV/TNE&amp;C</t>
  </si>
  <si>
    <t>006475/2025/HĐTV/TNE&amp;C</t>
  </si>
  <si>
    <t>006225/2025/HĐTV/TNE&amp;C</t>
  </si>
  <si>
    <t>006498/2025/HĐTV/TNE&amp;C</t>
  </si>
  <si>
    <t>006048/2025/HĐLĐ/TNE&amp;C</t>
  </si>
  <si>
    <t>006226/2025/HĐLĐ/TNE&amp;C</t>
  </si>
  <si>
    <t>006386/2025/HĐLĐ/TNE&amp;C</t>
  </si>
  <si>
    <t>006225/2025/HĐLĐ/TNE&amp;C</t>
  </si>
  <si>
    <t>006000/2025/HĐTV/TNE&amp;C</t>
  </si>
  <si>
    <t>005974/2025/HĐTV/TNE&amp;C</t>
  </si>
  <si>
    <t>005983/2025/HĐTV/TNE&amp;C</t>
  </si>
  <si>
    <t>005942/2025/HĐTV/TNE&amp;C</t>
  </si>
  <si>
    <t>005844/2025/HĐTV/TNE&amp;C</t>
  </si>
  <si>
    <t>005927/2025/HĐTV/TNE&amp;C</t>
  </si>
  <si>
    <t>005938/2025/HĐTV/TNE&amp;C</t>
  </si>
  <si>
    <t>005402/2025/HĐLĐ/TNE&amp;C</t>
  </si>
  <si>
    <t>005938/2025/HĐLĐ/TNE&amp;C</t>
  </si>
  <si>
    <t>005844/2025/HĐLĐ/TNE&amp;C</t>
  </si>
  <si>
    <t>005974/2025/HĐLĐ/TNE&amp;C</t>
  </si>
  <si>
    <t>006000/2025/HĐLĐ/TNE&amp;C</t>
  </si>
  <si>
    <t>005927/2025/HĐLĐ/TNE&amp;C</t>
  </si>
  <si>
    <t>005942/2025/HĐLĐ/TNE&amp;C</t>
  </si>
  <si>
    <t>005983/2025/HĐLĐ/TNE&amp;C</t>
  </si>
  <si>
    <t>005744/2025/HĐTV/TNE&amp;C</t>
  </si>
  <si>
    <t>P. QUẢN LÝ DỰ ÁN</t>
  </si>
  <si>
    <t>Nguyễn Văn Quyết</t>
  </si>
  <si>
    <t>006540/2026/HĐTV/TNE&amp;C</t>
  </si>
  <si>
    <t>Nguyễn Hồng Hải</t>
  </si>
  <si>
    <t>006541/2026/HĐTV/TNE&amp;C</t>
  </si>
  <si>
    <t>Hồ Đình Nam Đà</t>
  </si>
  <si>
    <t>006544/2026/HĐTV/TNE&amp;C</t>
  </si>
  <si>
    <t>Phạm Huy Phúc</t>
  </si>
  <si>
    <t>006545/2025/HĐTV/TNE&amp;C</t>
  </si>
  <si>
    <t>DANH SÁCH THEO DÕI KÝ HĐTV, HĐLĐ</t>
  </si>
  <si>
    <t>PHỤ CẤP</t>
  </si>
  <si>
    <t>TỔNG THU NHẬP</t>
  </si>
  <si>
    <t>NGÀY ĐIỀU CHỈNH LƯƠNG GẦN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</si>
</sst>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d/mm/yyyy;@"/>
  </numFmts>
  <fonts count="6">
    <font>
      <sz val="10"/>
      <color rgb="FF000000"/>
      <name val="Calibri"/>
      <family val="2"/>
      <scheme val="minor"/>
    </font>
    <font>
      <b/>
      <sz val="12"/>
      <color theme="1"/>
      <name val="&quot;Myriad Pro&quot;"/>
    </font>
    <font>
      <sz val="12"/>
      <color theme="1"/>
      <name val="&quot;Myriad Pro&quot;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B0F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1" xfId="0" applyFont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0" fontId="0" fillId="3" borderId="0" xfId="0" applyFill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4" fontId="4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4" borderId="2" xfId="0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right"/>
    </xf>
    <xf numFmtId="164" fontId="4" fillId="3" borderId="2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5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14" fontId="4" fillId="3" borderId="2" xfId="0" applyNumberFormat="1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14" fontId="4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64" fontId="4" fillId="0" borderId="3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ungnamgroupcomvn.sharepoint.com/sites/TNEC/Shared%20Documents/HCNS/1.%20NHAN%20SU/1.%20C&amp;B/TNEC%20NEW/1.%20QUAN%20LY%20NHAN%20SU/DANH%20SACH%20CBNV/TNE&amp;C%20NEW%20-%20HCNS%20-%20DSNV%20TNE&amp;C%20NEW%202026.xlsx" TargetMode="External"/><Relationship Id="rId1" Type="http://schemas.openxmlformats.org/officeDocument/2006/relationships/externalLinkPath" Target="https://trungnamgroupcomvn.sharepoint.com/sites/TNEC/Shared%20Documents/HCNS/1.%20NHAN%20SU/1.%20C&amp;B/TNEC%20NEW/1.%20QUAN%20LY%20NHAN%20SU/DANH%20SACH%20CBNV/TNE&amp;C%20NEW%20-%20HCNS%20-%20DSNV%20TNE&amp;C%20NEW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6"/>
      <sheetName val="T5"/>
      <sheetName val="T4"/>
      <sheetName val="T3"/>
      <sheetName val="T2"/>
      <sheetName val="T1"/>
      <sheetName val="nghỉ việ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C3">
            <v>4</v>
          </cell>
          <cell r="D3"/>
          <cell r="E3"/>
        </row>
        <row r="4">
          <cell r="C4">
            <v>8</v>
          </cell>
          <cell r="D4">
            <v>4</v>
          </cell>
          <cell r="E4">
            <v>4</v>
          </cell>
        </row>
        <row r="5">
          <cell r="C5">
            <v>1</v>
          </cell>
          <cell r="D5">
            <v>1</v>
          </cell>
          <cell r="E5">
            <v>1</v>
          </cell>
        </row>
        <row r="6">
          <cell r="C6">
            <v>6</v>
          </cell>
          <cell r="D6"/>
          <cell r="E6">
            <v>2</v>
          </cell>
        </row>
        <row r="7">
          <cell r="C7">
            <v>8</v>
          </cell>
          <cell r="D7">
            <v>5</v>
          </cell>
          <cell r="E7"/>
        </row>
        <row r="8">
          <cell r="C8">
            <v>4</v>
          </cell>
          <cell r="D8">
            <v>1</v>
          </cell>
          <cell r="E8"/>
        </row>
        <row r="9">
          <cell r="C9">
            <v>2</v>
          </cell>
          <cell r="D9"/>
          <cell r="E9">
            <v>1</v>
          </cell>
        </row>
        <row r="10">
          <cell r="C10">
            <v>3</v>
          </cell>
          <cell r="D10">
            <v>1</v>
          </cell>
          <cell r="E10">
            <v>1</v>
          </cell>
        </row>
        <row r="11">
          <cell r="C11">
            <v>7</v>
          </cell>
          <cell r="D11"/>
          <cell r="E11"/>
        </row>
        <row r="12">
          <cell r="C12">
            <v>10</v>
          </cell>
          <cell r="D12">
            <v>1</v>
          </cell>
          <cell r="E12">
            <v>3</v>
          </cell>
        </row>
        <row r="13">
          <cell r="C13">
            <v>1</v>
          </cell>
          <cell r="D13">
            <v>4</v>
          </cell>
          <cell r="E13">
            <v>1</v>
          </cell>
        </row>
        <row r="14">
          <cell r="C14"/>
          <cell r="D14"/>
          <cell r="E14"/>
        </row>
        <row r="15">
          <cell r="C15"/>
          <cell r="D15">
            <v>2</v>
          </cell>
          <cell r="E15"/>
        </row>
        <row r="16">
          <cell r="C16">
            <v>2</v>
          </cell>
          <cell r="D16"/>
          <cell r="E16"/>
        </row>
        <row r="17">
          <cell r="C17">
            <v>1</v>
          </cell>
          <cell r="D17"/>
          <cell r="E17"/>
        </row>
        <row r="18">
          <cell r="C18">
            <v>1</v>
          </cell>
          <cell r="D18">
            <v>1</v>
          </cell>
          <cell r="E18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3B51-018E-4062-934A-E5C9BBF86B69}">
  <sheetPr codeName="Sheet1">
    <outlinePr summaryBelow="0" summaryRight="0"/>
  </sheetPr>
  <dimension ref="A1:Q96"/>
  <sheetViews>
    <sheetView tabSelected="1" zoomScale="70" zoomScaleNormal="70" workbookViewId="0">
      <selection activeCell="F27" sqref="F27"/>
    </sheetView>
  </sheetViews>
  <sheetFormatPr defaultColWidth="13.85546875" defaultRowHeight="12.75"/>
  <cols>
    <col min="1" max="1" width="6.28515625" customWidth="1"/>
    <col min="2" max="2" width="6.85546875" customWidth="1"/>
    <col min="3" max="3" width="9.85546875" customWidth="1"/>
    <col min="4" max="4" width="34.28515625" customWidth="1"/>
    <col min="5" max="5" width="13.85546875" style="43" customWidth="1"/>
    <col min="6" max="6" width="31.5703125" style="56" customWidth="1"/>
    <col min="7" max="8" width="17.85546875" customWidth="1"/>
    <col min="9" max="9" width="28.85546875" style="50" customWidth="1"/>
    <col min="10" max="10" width="25.85546875" customWidth="1"/>
    <col min="11" max="12" width="19.7109375" style="42" customWidth="1"/>
    <col min="17" max="17" width="18.85546875" customWidth="1"/>
  </cols>
  <sheetData>
    <row r="1" spans="1:17" ht="15.75">
      <c r="A1" s="63" t="s">
        <v>0</v>
      </c>
      <c r="B1" s="64"/>
      <c r="C1" s="64"/>
      <c r="D1" s="64"/>
      <c r="E1" s="1"/>
      <c r="F1" s="52"/>
      <c r="G1" s="2"/>
      <c r="H1" s="2"/>
      <c r="I1" s="45"/>
      <c r="J1" s="2"/>
      <c r="K1" s="3"/>
      <c r="L1" s="3"/>
    </row>
    <row r="2" spans="1:17" ht="15.75" customHeight="1">
      <c r="A2" s="69" t="s">
        <v>201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0"/>
      <c r="P2" s="60"/>
      <c r="Q2" s="60"/>
    </row>
    <row r="4" spans="1:17" ht="15.75">
      <c r="A4" s="4"/>
      <c r="B4" s="4"/>
      <c r="C4" s="4"/>
      <c r="D4" s="4"/>
      <c r="E4" s="5"/>
      <c r="F4" s="53"/>
      <c r="G4" s="4"/>
      <c r="H4" s="4"/>
      <c r="I4" s="46"/>
      <c r="J4" s="4"/>
      <c r="K4" s="6"/>
      <c r="L4" s="6"/>
    </row>
    <row r="5" spans="1:17" s="8" customFormat="1" ht="15.75" customHeight="1">
      <c r="A5" s="61" t="s">
        <v>1</v>
      </c>
      <c r="B5" s="61" t="s">
        <v>2</v>
      </c>
      <c r="C5" s="61" t="s">
        <v>3</v>
      </c>
      <c r="D5" s="61" t="s">
        <v>4</v>
      </c>
      <c r="E5" s="61" t="s">
        <v>5</v>
      </c>
      <c r="F5" s="67" t="s">
        <v>101</v>
      </c>
      <c r="G5" s="65" t="s">
        <v>6</v>
      </c>
      <c r="H5" s="66"/>
      <c r="I5" s="61" t="s">
        <v>104</v>
      </c>
      <c r="J5" s="61" t="s">
        <v>105</v>
      </c>
      <c r="K5" s="65" t="s">
        <v>7</v>
      </c>
      <c r="L5" s="66"/>
      <c r="M5" s="61" t="s">
        <v>108</v>
      </c>
      <c r="N5" s="61" t="s">
        <v>109</v>
      </c>
      <c r="O5" s="61" t="s">
        <v>202</v>
      </c>
      <c r="P5" s="61" t="s">
        <v>203</v>
      </c>
      <c r="Q5" s="61" t="s">
        <v>204</v>
      </c>
    </row>
    <row r="6" spans="1:17" s="8" customFormat="1" ht="39.75" customHeight="1">
      <c r="A6" s="62"/>
      <c r="B6" s="62"/>
      <c r="C6" s="62"/>
      <c r="D6" s="62"/>
      <c r="E6" s="62"/>
      <c r="F6" s="68"/>
      <c r="G6" s="7" t="s">
        <v>102</v>
      </c>
      <c r="H6" s="7" t="s">
        <v>103</v>
      </c>
      <c r="I6" s="62"/>
      <c r="J6" s="62"/>
      <c r="K6" s="7" t="s">
        <v>106</v>
      </c>
      <c r="L6" s="7" t="s">
        <v>107</v>
      </c>
      <c r="M6" s="62"/>
      <c r="N6" s="62"/>
      <c r="O6" s="62"/>
      <c r="P6" s="62"/>
      <c r="Q6" s="62"/>
    </row>
    <row r="7" spans="1:17" ht="15.75">
      <c r="A7" s="9"/>
      <c r="B7" s="9"/>
      <c r="C7" s="9" t="s">
        <v>192</v>
      </c>
      <c r="D7" s="9"/>
      <c r="E7" s="10"/>
      <c r="F7" s="54"/>
      <c r="G7" s="9"/>
      <c r="H7" s="9"/>
      <c r="I7" s="47"/>
      <c r="J7" s="9"/>
      <c r="K7" s="11"/>
      <c r="L7" s="11"/>
      <c r="M7" s="9"/>
      <c r="N7" s="9"/>
      <c r="O7" s="9"/>
      <c r="P7" s="9"/>
      <c r="Q7" s="9"/>
    </row>
    <row r="8" spans="1:17" s="24" customFormat="1" ht="15">
      <c r="A8" s="12">
        <f>IF(D8&lt;&gt;"",COUNTA($D$7:D8),"---")</f>
        <v>1</v>
      </c>
      <c r="B8" s="12">
        <f>IF(D8&lt;&gt;"",COUNTA($D$7:D8),"---")</f>
        <v>1</v>
      </c>
      <c r="C8" s="24">
        <v>6377</v>
      </c>
      <c r="D8" s="25" t="s">
        <v>12</v>
      </c>
      <c r="E8" s="26">
        <v>46146</v>
      </c>
      <c r="F8" s="13" t="s">
        <v>112</v>
      </c>
      <c r="G8" s="26">
        <v>46146</v>
      </c>
      <c r="H8" s="26">
        <v>46206</v>
      </c>
      <c r="I8" s="13"/>
      <c r="J8" s="13"/>
      <c r="K8" s="26"/>
      <c r="L8" s="26"/>
      <c r="M8" s="26"/>
      <c r="N8" s="26"/>
      <c r="O8" s="26"/>
      <c r="P8" s="26"/>
      <c r="Q8" s="26"/>
    </row>
    <row r="9" spans="1:17" ht="15">
      <c r="A9" s="12">
        <f>IF(D9&lt;&gt;"",COUNTA($D$7:D9),"---")</f>
        <v>2</v>
      </c>
      <c r="B9" s="12">
        <f>IF(D9&lt;&gt;"",COUNTA($D$7:D9),"---")</f>
        <v>2</v>
      </c>
      <c r="C9" s="12">
        <v>5804</v>
      </c>
      <c r="D9" s="13" t="s">
        <v>13</v>
      </c>
      <c r="E9" s="14">
        <v>45873</v>
      </c>
      <c r="F9" s="13" t="s">
        <v>113</v>
      </c>
      <c r="G9" s="14">
        <v>45873</v>
      </c>
      <c r="H9" s="14">
        <v>45933</v>
      </c>
      <c r="I9" s="13" t="s">
        <v>115</v>
      </c>
      <c r="J9" s="13" t="s">
        <v>111</v>
      </c>
      <c r="K9" s="16">
        <v>45934</v>
      </c>
      <c r="L9" s="16">
        <v>46298</v>
      </c>
      <c r="M9" s="14"/>
      <c r="N9" s="14"/>
      <c r="O9" s="14"/>
      <c r="P9" s="14"/>
      <c r="Q9" s="14"/>
    </row>
    <row r="10" spans="1:17" ht="15">
      <c r="A10" s="12">
        <f>IF(D10&lt;&gt;"",COUNTA($D$7:D10),"---")</f>
        <v>3</v>
      </c>
      <c r="B10" s="12">
        <f>IF(D10&lt;&gt;"",COUNTA($D$7:D10),"---")</f>
        <v>3</v>
      </c>
      <c r="C10" s="24">
        <v>6227</v>
      </c>
      <c r="D10" s="25" t="s">
        <v>14</v>
      </c>
      <c r="E10" s="26" t="s">
        <v>15</v>
      </c>
      <c r="F10" s="13" t="s">
        <v>116</v>
      </c>
      <c r="G10" s="26" t="s">
        <v>15</v>
      </c>
      <c r="H10" s="26">
        <v>46164</v>
      </c>
      <c r="I10" s="13" t="s">
        <v>117</v>
      </c>
      <c r="J10" s="13" t="s">
        <v>111</v>
      </c>
      <c r="K10" s="27" t="s">
        <v>16</v>
      </c>
      <c r="L10" s="27">
        <v>46529</v>
      </c>
      <c r="M10" s="26"/>
      <c r="N10" s="26"/>
      <c r="O10" s="26"/>
      <c r="P10" s="26"/>
      <c r="Q10" s="26"/>
    </row>
    <row r="11" spans="1:17" ht="15">
      <c r="A11" s="12">
        <f>IF(D11&lt;&gt;"",COUNTA($D$7:D11),"---")</f>
        <v>4</v>
      </c>
      <c r="B11" s="12">
        <f>IF(D11&lt;&gt;"",COUNTA($D$7:D11),"---")</f>
        <v>4</v>
      </c>
      <c r="C11" s="24">
        <v>6540</v>
      </c>
      <c r="D11" s="25" t="s">
        <v>193</v>
      </c>
      <c r="E11" s="26">
        <v>46188</v>
      </c>
      <c r="F11" s="13" t="s">
        <v>194</v>
      </c>
      <c r="G11" s="26">
        <v>46188</v>
      </c>
      <c r="H11" s="26">
        <v>46248</v>
      </c>
      <c r="I11" s="13"/>
      <c r="J11" s="13"/>
      <c r="K11" s="27"/>
      <c r="L11" s="27"/>
      <c r="M11" s="26"/>
      <c r="N11" s="26"/>
      <c r="O11" s="26"/>
      <c r="P11" s="26"/>
      <c r="Q11" s="26"/>
    </row>
    <row r="12" spans="1:17" ht="15">
      <c r="A12" s="12">
        <f>IF(D12&lt;&gt;"",COUNTA($D$7:D12),"---")</f>
        <v>5</v>
      </c>
      <c r="B12" s="12">
        <f>IF(D12&lt;&gt;"",COUNTA($D$7:D12),"---")</f>
        <v>5</v>
      </c>
      <c r="C12" s="24">
        <v>6541</v>
      </c>
      <c r="D12" s="25" t="s">
        <v>195</v>
      </c>
      <c r="E12" s="26">
        <v>46188</v>
      </c>
      <c r="F12" s="13" t="s">
        <v>196</v>
      </c>
      <c r="G12" s="26">
        <v>46188</v>
      </c>
      <c r="H12" s="26">
        <v>46248</v>
      </c>
      <c r="I12" s="13"/>
      <c r="J12" s="13"/>
      <c r="K12" s="27"/>
      <c r="L12" s="27"/>
      <c r="M12" s="26"/>
      <c r="N12" s="26"/>
      <c r="O12" s="26"/>
      <c r="P12" s="26"/>
      <c r="Q12" s="26"/>
    </row>
    <row r="13" spans="1:17" ht="15.75">
      <c r="A13" s="9"/>
      <c r="B13" s="9"/>
      <c r="C13" s="9" t="s">
        <v>17</v>
      </c>
      <c r="D13" s="9"/>
      <c r="E13" s="10"/>
      <c r="F13" s="54"/>
      <c r="G13" s="9"/>
      <c r="H13" s="9"/>
      <c r="I13" s="47"/>
      <c r="J13" s="9"/>
      <c r="K13" s="11"/>
      <c r="L13" s="11"/>
      <c r="M13" s="9"/>
      <c r="N13" s="9"/>
      <c r="O13" s="9"/>
      <c r="P13" s="9"/>
      <c r="Q13" s="9"/>
    </row>
    <row r="14" spans="1:17" s="37" customFormat="1" ht="15">
      <c r="A14" s="32">
        <f>IF(D14&lt;&gt;"",COUNTA($D$7:D14),"---")</f>
        <v>6</v>
      </c>
      <c r="B14" s="32">
        <f>IF(D14&lt;&gt;"",COUNTA($D$14:D14),"---")</f>
        <v>1</v>
      </c>
      <c r="C14" s="32">
        <v>5492</v>
      </c>
      <c r="D14" s="33" t="s">
        <v>18</v>
      </c>
      <c r="E14" s="34" t="s">
        <v>19</v>
      </c>
      <c r="F14" s="13" t="s">
        <v>121</v>
      </c>
      <c r="G14" s="35" t="s">
        <v>19</v>
      </c>
      <c r="H14" s="34">
        <v>45796</v>
      </c>
      <c r="I14" s="13" t="s">
        <v>118</v>
      </c>
      <c r="J14" s="13" t="s">
        <v>111</v>
      </c>
      <c r="K14" s="36">
        <v>46162</v>
      </c>
      <c r="L14" s="36">
        <v>46526</v>
      </c>
      <c r="M14" s="35"/>
      <c r="N14" s="35"/>
      <c r="O14" s="35"/>
      <c r="P14" s="35"/>
      <c r="Q14" s="35"/>
    </row>
    <row r="15" spans="1:17" ht="15">
      <c r="A15" s="12">
        <f>IF(D15&lt;&gt;"",COUNTA($D$7:D15),"---")</f>
        <v>7</v>
      </c>
      <c r="B15" s="24">
        <f>IF(D15&lt;&gt;"",COUNTA($D$14:D15),"---")</f>
        <v>2</v>
      </c>
      <c r="C15" s="24">
        <v>5898</v>
      </c>
      <c r="D15" s="25" t="s">
        <v>20</v>
      </c>
      <c r="E15" s="26">
        <v>45931</v>
      </c>
      <c r="F15" s="13" t="s">
        <v>122</v>
      </c>
      <c r="G15" s="26">
        <v>45931</v>
      </c>
      <c r="H15" s="26">
        <v>45991</v>
      </c>
      <c r="I15" s="13" t="s">
        <v>118</v>
      </c>
      <c r="J15" s="13" t="s">
        <v>111</v>
      </c>
      <c r="K15" s="27">
        <v>45992</v>
      </c>
      <c r="L15" s="27">
        <v>46356</v>
      </c>
      <c r="M15" s="26"/>
      <c r="N15" s="26"/>
      <c r="O15" s="26"/>
      <c r="P15" s="26"/>
      <c r="Q15" s="26"/>
    </row>
    <row r="16" spans="1:17" ht="15">
      <c r="A16" s="12">
        <f>IF(D16&lt;&gt;"",COUNTA($D$7:D16),"---")</f>
        <v>8</v>
      </c>
      <c r="B16" s="12">
        <f>IF(D16&lt;&gt;"",COUNTA($D$14:D16),"---")</f>
        <v>3</v>
      </c>
      <c r="C16" s="24">
        <v>6209</v>
      </c>
      <c r="D16" s="25" t="s">
        <v>21</v>
      </c>
      <c r="E16" s="26" t="s">
        <v>9</v>
      </c>
      <c r="F16" s="13" t="s">
        <v>123</v>
      </c>
      <c r="G16" s="26" t="s">
        <v>9</v>
      </c>
      <c r="H16" s="26">
        <v>46157</v>
      </c>
      <c r="I16" s="13" t="s">
        <v>118</v>
      </c>
      <c r="J16" s="13" t="s">
        <v>111</v>
      </c>
      <c r="K16" s="27" t="s">
        <v>22</v>
      </c>
      <c r="L16" s="27">
        <v>46522</v>
      </c>
      <c r="M16" s="26"/>
      <c r="N16" s="26"/>
      <c r="O16" s="26"/>
      <c r="P16" s="26"/>
      <c r="Q16" s="26"/>
    </row>
    <row r="17" spans="1:17" ht="15.75">
      <c r="A17" s="9"/>
      <c r="B17" s="9"/>
      <c r="C17" s="9" t="s">
        <v>23</v>
      </c>
      <c r="D17" s="9"/>
      <c r="E17" s="10"/>
      <c r="F17" s="54"/>
      <c r="G17" s="9"/>
      <c r="H17" s="9"/>
      <c r="I17" s="47"/>
      <c r="J17" s="9"/>
      <c r="K17" s="11"/>
      <c r="L17" s="11"/>
      <c r="M17" s="9"/>
      <c r="N17" s="9"/>
      <c r="O17" s="9"/>
      <c r="P17" s="9"/>
      <c r="Q17" s="9"/>
    </row>
    <row r="18" spans="1:17" s="23" customFormat="1" ht="15">
      <c r="A18" s="17">
        <f>IF(D18&lt;&gt;"",COUNTA($D$7:D18),"---")</f>
        <v>9</v>
      </c>
      <c r="B18" s="17">
        <f>IF(D18&lt;&gt;"",COUNTA($D$18:D18),"---")</f>
        <v>1</v>
      </c>
      <c r="C18" s="17">
        <v>2178</v>
      </c>
      <c r="D18" s="18" t="s">
        <v>24</v>
      </c>
      <c r="E18" s="20">
        <v>45664</v>
      </c>
      <c r="F18" s="19"/>
      <c r="G18" s="21"/>
      <c r="H18" s="21"/>
      <c r="I18" s="18" t="s">
        <v>120</v>
      </c>
      <c r="J18" s="18" t="s">
        <v>110</v>
      </c>
      <c r="K18" s="22">
        <v>45664</v>
      </c>
      <c r="L18" s="22"/>
      <c r="M18" s="21"/>
      <c r="N18" s="21"/>
      <c r="O18" s="21"/>
      <c r="P18" s="21"/>
      <c r="Q18" s="21"/>
    </row>
    <row r="19" spans="1:17" ht="15">
      <c r="A19" s="12">
        <f>IF(D19&lt;&gt;"",COUNTA($D$7:D19),"---")</f>
        <v>10</v>
      </c>
      <c r="B19" s="12">
        <f>IF(D19&lt;&gt;"",COUNTA($D$18:D19),"---")</f>
        <v>2</v>
      </c>
      <c r="C19" s="24">
        <v>6208</v>
      </c>
      <c r="D19" s="25" t="s">
        <v>25</v>
      </c>
      <c r="E19" s="26" t="s">
        <v>9</v>
      </c>
      <c r="F19" s="13" t="s">
        <v>125</v>
      </c>
      <c r="G19" s="26" t="s">
        <v>9</v>
      </c>
      <c r="H19" s="26">
        <v>46157</v>
      </c>
      <c r="I19" s="13" t="s">
        <v>119</v>
      </c>
      <c r="J19" s="13" t="s">
        <v>111</v>
      </c>
      <c r="K19" s="27" t="s">
        <v>22</v>
      </c>
      <c r="L19" s="27">
        <v>46522</v>
      </c>
      <c r="M19" s="26"/>
      <c r="N19" s="26"/>
      <c r="O19" s="26"/>
      <c r="P19" s="26"/>
      <c r="Q19" s="26"/>
    </row>
    <row r="20" spans="1:17" ht="15">
      <c r="A20" s="12">
        <f>IF(D20&lt;&gt;"",COUNTA($D$7:D20),"---")</f>
        <v>11</v>
      </c>
      <c r="B20" s="12">
        <f>IF(D20&lt;&gt;"",COUNTA($D$18:D20),"---")</f>
        <v>3</v>
      </c>
      <c r="C20" s="12">
        <v>5828</v>
      </c>
      <c r="D20" s="13" t="s">
        <v>26</v>
      </c>
      <c r="E20" s="14" t="s">
        <v>8</v>
      </c>
      <c r="F20" s="13" t="s">
        <v>126</v>
      </c>
      <c r="G20" s="15" t="s">
        <v>8</v>
      </c>
      <c r="H20" s="14">
        <v>45947</v>
      </c>
      <c r="I20" s="13" t="s">
        <v>127</v>
      </c>
      <c r="J20" s="13" t="s">
        <v>111</v>
      </c>
      <c r="K20" s="16" t="s">
        <v>27</v>
      </c>
      <c r="L20" s="16">
        <v>46312</v>
      </c>
      <c r="M20" s="15"/>
      <c r="N20" s="15"/>
      <c r="O20" s="15"/>
      <c r="P20" s="15"/>
      <c r="Q20" s="15"/>
    </row>
    <row r="21" spans="1:17" ht="15.75">
      <c r="A21" s="9"/>
      <c r="B21" s="9"/>
      <c r="C21" s="9" t="s">
        <v>28</v>
      </c>
      <c r="D21" s="9"/>
      <c r="E21" s="10"/>
      <c r="F21" s="54"/>
      <c r="G21" s="9"/>
      <c r="H21" s="9"/>
      <c r="I21" s="47"/>
      <c r="J21" s="9"/>
      <c r="K21" s="11"/>
      <c r="L21" s="11"/>
      <c r="M21" s="9"/>
      <c r="N21" s="9"/>
      <c r="O21" s="9"/>
      <c r="P21" s="9"/>
      <c r="Q21" s="9"/>
    </row>
    <row r="22" spans="1:17" ht="15">
      <c r="A22" s="12">
        <f>IF(D22&lt;&gt;"",COUNTA($D$7:D22),"---")</f>
        <v>12</v>
      </c>
      <c r="B22" s="12">
        <f>IF(D22&lt;&gt;"",COUNTA($D$22:D22),"---")</f>
        <v>1</v>
      </c>
      <c r="C22" s="12">
        <v>620</v>
      </c>
      <c r="D22" s="13" t="s">
        <v>29</v>
      </c>
      <c r="E22" s="14" t="s">
        <v>30</v>
      </c>
      <c r="F22" s="49"/>
      <c r="G22" s="15"/>
      <c r="H22" s="15"/>
      <c r="I22" s="13"/>
      <c r="J22" s="15"/>
      <c r="K22" s="16" t="s">
        <v>31</v>
      </c>
      <c r="L22" s="16"/>
      <c r="M22" s="15"/>
      <c r="N22" s="15"/>
      <c r="O22" s="15"/>
      <c r="P22" s="15"/>
      <c r="Q22" s="15"/>
    </row>
    <row r="23" spans="1:17" s="23" customFormat="1" ht="15">
      <c r="A23" s="17">
        <f>IF(D23&lt;&gt;"",COUNTA($D$7:D23),"---")</f>
        <v>13</v>
      </c>
      <c r="B23" s="17">
        <f>IF(D23&lt;&gt;"",COUNTA($D$22:D23),"---")</f>
        <v>2</v>
      </c>
      <c r="C23" s="17">
        <v>840</v>
      </c>
      <c r="D23" s="18" t="s">
        <v>32</v>
      </c>
      <c r="E23" s="20">
        <v>45536</v>
      </c>
      <c r="F23" s="19"/>
      <c r="G23" s="21"/>
      <c r="H23" s="21"/>
      <c r="I23" s="18"/>
      <c r="J23" s="21"/>
      <c r="K23" s="20">
        <v>45536</v>
      </c>
      <c r="L23" s="20"/>
      <c r="M23" s="21"/>
      <c r="N23" s="21"/>
      <c r="O23" s="21"/>
      <c r="P23" s="21"/>
      <c r="Q23" s="21"/>
    </row>
    <row r="24" spans="1:17" ht="15">
      <c r="A24" s="12">
        <f>IF(D24&lt;&gt;"",COUNTA($D$7:D24),"---")</f>
        <v>14</v>
      </c>
      <c r="B24" s="12">
        <f>IF(D24&lt;&gt;"",COUNTA($D$22:D24),"---")</f>
        <v>3</v>
      </c>
      <c r="C24" s="12">
        <v>5168</v>
      </c>
      <c r="D24" s="13" t="s">
        <v>33</v>
      </c>
      <c r="E24" s="14">
        <v>45566</v>
      </c>
      <c r="F24" s="49"/>
      <c r="G24" s="15"/>
      <c r="H24" s="15"/>
      <c r="I24" s="13" t="s">
        <v>128</v>
      </c>
      <c r="J24" s="13" t="s">
        <v>110</v>
      </c>
      <c r="K24" s="16">
        <v>45566</v>
      </c>
      <c r="L24" s="16"/>
      <c r="M24" s="15"/>
      <c r="N24" s="15"/>
      <c r="O24" s="15"/>
      <c r="P24" s="15"/>
      <c r="Q24" s="15"/>
    </row>
    <row r="25" spans="1:17" ht="15">
      <c r="A25" s="12">
        <f>IF(D25&lt;&gt;"",COUNTA($D$7:D25),"---")</f>
        <v>15</v>
      </c>
      <c r="B25" s="12">
        <f>IF(D25&lt;&gt;"",COUNTA($D$22:D25),"---")</f>
        <v>4</v>
      </c>
      <c r="C25" s="12">
        <v>5144</v>
      </c>
      <c r="D25" s="13" t="s">
        <v>34</v>
      </c>
      <c r="E25" s="14" t="s">
        <v>35</v>
      </c>
      <c r="F25" s="49"/>
      <c r="G25" s="15"/>
      <c r="H25" s="15"/>
      <c r="I25" s="13" t="s">
        <v>129</v>
      </c>
      <c r="J25" s="13" t="s">
        <v>110</v>
      </c>
      <c r="K25" s="16" t="s">
        <v>35</v>
      </c>
      <c r="L25" s="16"/>
      <c r="M25" s="15"/>
      <c r="N25" s="15"/>
      <c r="O25" s="15"/>
      <c r="P25" s="15"/>
      <c r="Q25" s="15"/>
    </row>
    <row r="26" spans="1:17" ht="15">
      <c r="A26" s="12">
        <f>IF(D26&lt;&gt;"",COUNTA($D$7:D26),"---")</f>
        <v>16</v>
      </c>
      <c r="B26" s="12">
        <f>IF(D26&lt;&gt;"",COUNTA($D$22:D26),"---")</f>
        <v>5</v>
      </c>
      <c r="C26" s="12">
        <v>3722</v>
      </c>
      <c r="D26" s="13" t="s">
        <v>36</v>
      </c>
      <c r="E26" s="14" t="s">
        <v>37</v>
      </c>
      <c r="F26" s="49"/>
      <c r="G26" s="15" t="s">
        <v>37</v>
      </c>
      <c r="H26" s="15"/>
      <c r="I26" s="13" t="s">
        <v>130</v>
      </c>
      <c r="J26" s="13" t="s">
        <v>110</v>
      </c>
      <c r="K26" s="16" t="s">
        <v>38</v>
      </c>
      <c r="L26" s="16"/>
      <c r="M26" s="15"/>
      <c r="N26" s="15"/>
      <c r="O26" s="15"/>
      <c r="P26" s="15"/>
      <c r="Q26" s="15"/>
    </row>
    <row r="27" spans="1:17" ht="15">
      <c r="A27" s="12">
        <f>IF(D27&lt;&gt;"",COUNTA($D$7:D27),"---")</f>
        <v>17</v>
      </c>
      <c r="B27" s="12">
        <f>IF(D27&lt;&gt;"",COUNTA($D$22:D27),"---")</f>
        <v>6</v>
      </c>
      <c r="C27" s="12">
        <v>5744</v>
      </c>
      <c r="D27" s="13" t="s">
        <v>39</v>
      </c>
      <c r="E27" s="14">
        <v>45839</v>
      </c>
      <c r="F27" s="13" t="s">
        <v>191</v>
      </c>
      <c r="G27" s="14">
        <v>45839</v>
      </c>
      <c r="H27" s="14">
        <v>45900</v>
      </c>
      <c r="I27" s="13" t="s">
        <v>131</v>
      </c>
      <c r="J27" s="13" t="s">
        <v>111</v>
      </c>
      <c r="K27" s="16">
        <v>45901</v>
      </c>
      <c r="L27" s="16">
        <v>46265</v>
      </c>
      <c r="M27" s="14"/>
      <c r="N27" s="14"/>
      <c r="O27" s="14"/>
      <c r="P27" s="14"/>
      <c r="Q27" s="14"/>
    </row>
    <row r="28" spans="1:17" ht="15">
      <c r="A28" s="12">
        <f>IF(D28&lt;&gt;"",COUNTA($D$7:D28),"---")</f>
        <v>18</v>
      </c>
      <c r="B28" s="12">
        <f>IF(D28&lt;&gt;"",COUNTA($D$22:D28),"---")</f>
        <v>7</v>
      </c>
      <c r="C28" s="12">
        <v>5595</v>
      </c>
      <c r="D28" s="13" t="s">
        <v>40</v>
      </c>
      <c r="E28" s="14">
        <v>45964</v>
      </c>
      <c r="F28" s="13" t="s">
        <v>114</v>
      </c>
      <c r="G28" s="14">
        <v>45964</v>
      </c>
      <c r="H28" s="14">
        <v>46024</v>
      </c>
      <c r="I28" s="13" t="s">
        <v>132</v>
      </c>
      <c r="J28" s="13" t="s">
        <v>111</v>
      </c>
      <c r="K28" s="16">
        <v>46025</v>
      </c>
      <c r="L28" s="16">
        <v>46389</v>
      </c>
      <c r="M28" s="14"/>
      <c r="N28" s="14"/>
      <c r="O28" s="14"/>
      <c r="P28" s="14"/>
      <c r="Q28" s="14"/>
    </row>
    <row r="29" spans="1:17" s="23" customFormat="1" ht="15">
      <c r="A29" s="17">
        <f>IF(D29&lt;&gt;"",COUNTA($D$7:D29),"---")</f>
        <v>19</v>
      </c>
      <c r="B29" s="17">
        <f>IF(D29&lt;&gt;"",COUNTA($D$22:D29),"---")</f>
        <v>8</v>
      </c>
      <c r="C29" s="17">
        <v>3369</v>
      </c>
      <c r="D29" s="18" t="s">
        <v>41</v>
      </c>
      <c r="E29" s="20">
        <v>45664</v>
      </c>
      <c r="F29" s="19"/>
      <c r="G29" s="21"/>
      <c r="H29" s="21"/>
      <c r="I29" s="18"/>
      <c r="J29" s="21"/>
      <c r="K29" s="22">
        <v>45664</v>
      </c>
      <c r="L29" s="22"/>
      <c r="M29" s="21"/>
      <c r="N29" s="21"/>
      <c r="O29" s="21"/>
      <c r="P29" s="21"/>
      <c r="Q29" s="21"/>
    </row>
    <row r="30" spans="1:17" ht="15.75">
      <c r="A30" s="9"/>
      <c r="B30" s="9"/>
      <c r="C30" s="9" t="s">
        <v>42</v>
      </c>
      <c r="D30" s="9"/>
      <c r="E30" s="10"/>
      <c r="F30" s="54"/>
      <c r="G30" s="9"/>
      <c r="H30" s="9"/>
      <c r="I30" s="47"/>
      <c r="J30" s="9"/>
      <c r="K30" s="11"/>
      <c r="L30" s="11"/>
      <c r="M30" s="9"/>
      <c r="N30" s="9"/>
      <c r="O30" s="9"/>
      <c r="P30" s="9"/>
      <c r="Q30" s="9"/>
    </row>
    <row r="31" spans="1:17" ht="15">
      <c r="A31" s="12">
        <f>IF(D31&lt;&gt;"",COUNTA($D$7:D31),"---")</f>
        <v>20</v>
      </c>
      <c r="B31" s="12">
        <f>IF(D31&lt;&gt;"",COUNTA($D$31:D31),"---")</f>
        <v>1</v>
      </c>
      <c r="C31" s="12">
        <v>5976</v>
      </c>
      <c r="D31" s="13" t="s">
        <v>43</v>
      </c>
      <c r="E31" s="14">
        <v>45971</v>
      </c>
      <c r="F31" s="13" t="s">
        <v>126</v>
      </c>
      <c r="G31" s="14">
        <v>45971</v>
      </c>
      <c r="H31" s="14">
        <v>46031</v>
      </c>
      <c r="I31" s="13" t="s">
        <v>124</v>
      </c>
      <c r="J31" s="13" t="s">
        <v>111</v>
      </c>
      <c r="K31" s="16">
        <v>46032</v>
      </c>
      <c r="L31" s="16">
        <v>46396</v>
      </c>
      <c r="M31" s="14"/>
      <c r="N31" s="14"/>
      <c r="O31" s="14"/>
      <c r="P31" s="14"/>
      <c r="Q31" s="14"/>
    </row>
    <row r="32" spans="1:17" ht="15.75">
      <c r="A32" s="9"/>
      <c r="B32" s="9"/>
      <c r="C32" s="9" t="s">
        <v>44</v>
      </c>
      <c r="D32" s="9"/>
      <c r="E32" s="10"/>
      <c r="F32" s="54"/>
      <c r="G32" s="9"/>
      <c r="H32" s="9"/>
      <c r="I32" s="47"/>
      <c r="J32" s="9"/>
      <c r="K32" s="11"/>
      <c r="L32" s="11"/>
      <c r="M32" s="9"/>
      <c r="N32" s="9"/>
      <c r="O32" s="9"/>
      <c r="P32" s="9"/>
      <c r="Q32" s="9"/>
    </row>
    <row r="33" spans="1:17" ht="15">
      <c r="A33" s="12">
        <f>IF(D33&lt;&gt;"",COUNTA($D$7:D33),"---")</f>
        <v>21</v>
      </c>
      <c r="B33" s="12">
        <f>IF(D33&lt;&gt;"",COUNTA($D$33:D33),"---")</f>
        <v>1</v>
      </c>
      <c r="C33" s="12">
        <v>5938</v>
      </c>
      <c r="D33" s="13" t="s">
        <v>45</v>
      </c>
      <c r="E33" s="14" t="s">
        <v>46</v>
      </c>
      <c r="F33" s="13" t="s">
        <v>182</v>
      </c>
      <c r="G33" s="15" t="s">
        <v>46</v>
      </c>
      <c r="H33" s="14">
        <v>46017</v>
      </c>
      <c r="I33" s="13" t="s">
        <v>184</v>
      </c>
      <c r="J33" s="13" t="s">
        <v>111</v>
      </c>
      <c r="K33" s="16" t="s">
        <v>47</v>
      </c>
      <c r="L33" s="16">
        <v>46382</v>
      </c>
      <c r="M33" s="15"/>
      <c r="N33" s="15"/>
      <c r="O33" s="15"/>
      <c r="P33" s="15"/>
      <c r="Q33" s="15"/>
    </row>
    <row r="34" spans="1:17" ht="15">
      <c r="A34" s="12">
        <f>IF(D34&lt;&gt;"",COUNTA($D$7:D34),"---")</f>
        <v>22</v>
      </c>
      <c r="B34" s="12">
        <f>IF(D34&lt;&gt;"",COUNTA($D$33:D34),"---")</f>
        <v>2</v>
      </c>
      <c r="C34" s="12">
        <v>5927</v>
      </c>
      <c r="D34" s="13" t="s">
        <v>48</v>
      </c>
      <c r="E34" s="14" t="s">
        <v>49</v>
      </c>
      <c r="F34" s="13" t="s">
        <v>181</v>
      </c>
      <c r="G34" s="15" t="s">
        <v>49</v>
      </c>
      <c r="H34" s="14">
        <v>46010</v>
      </c>
      <c r="I34" s="13" t="s">
        <v>188</v>
      </c>
      <c r="J34" s="13" t="s">
        <v>111</v>
      </c>
      <c r="K34" s="16" t="s">
        <v>50</v>
      </c>
      <c r="L34" s="16">
        <v>46375</v>
      </c>
      <c r="M34" s="15"/>
      <c r="N34" s="15"/>
      <c r="O34" s="15"/>
      <c r="P34" s="15"/>
      <c r="Q34" s="15"/>
    </row>
    <row r="35" spans="1:17" ht="15">
      <c r="A35" s="12">
        <f>IF(D35&lt;&gt;"",COUNTA($D$7:D35),"---")</f>
        <v>23</v>
      </c>
      <c r="B35" s="12">
        <f>IF(D35&lt;&gt;"",COUNTA($D$33:D35),"---")</f>
        <v>3</v>
      </c>
      <c r="C35" s="12">
        <v>5844</v>
      </c>
      <c r="D35" s="13" t="s">
        <v>51</v>
      </c>
      <c r="E35" s="14">
        <v>45880</v>
      </c>
      <c r="F35" s="13" t="s">
        <v>180</v>
      </c>
      <c r="G35" s="15"/>
      <c r="H35" s="15"/>
      <c r="I35" s="13" t="s">
        <v>185</v>
      </c>
      <c r="J35" s="13" t="s">
        <v>111</v>
      </c>
      <c r="K35" s="16">
        <v>45880</v>
      </c>
      <c r="L35" s="16">
        <v>46244</v>
      </c>
      <c r="M35" s="15"/>
      <c r="N35" s="15"/>
      <c r="O35" s="15"/>
      <c r="P35" s="15"/>
      <c r="Q35" s="15"/>
    </row>
    <row r="36" spans="1:17" ht="15">
      <c r="A36" s="12">
        <f>IF(D36&lt;&gt;"",COUNTA($D$7:D36),"---")</f>
        <v>24</v>
      </c>
      <c r="B36" s="12">
        <f>IF(D36&lt;&gt;"",COUNTA($D$33:D36),"---")</f>
        <v>4</v>
      </c>
      <c r="C36" s="12">
        <v>5942</v>
      </c>
      <c r="D36" s="13" t="s">
        <v>52</v>
      </c>
      <c r="E36" s="14" t="s">
        <v>46</v>
      </c>
      <c r="F36" s="13" t="s">
        <v>179</v>
      </c>
      <c r="G36" s="15" t="s">
        <v>46</v>
      </c>
      <c r="H36" s="14">
        <v>46017</v>
      </c>
      <c r="I36" s="13" t="s">
        <v>189</v>
      </c>
      <c r="J36" s="13" t="s">
        <v>111</v>
      </c>
      <c r="K36" s="16" t="s">
        <v>47</v>
      </c>
      <c r="L36" s="16">
        <v>46382</v>
      </c>
      <c r="M36" s="15"/>
      <c r="N36" s="15"/>
      <c r="O36" s="15"/>
      <c r="P36" s="15"/>
      <c r="Q36" s="15"/>
    </row>
    <row r="37" spans="1:17" ht="15">
      <c r="A37" s="12">
        <f>IF(D37&lt;&gt;"",COUNTA($D$7:D37),"---")</f>
        <v>25</v>
      </c>
      <c r="B37" s="12">
        <f>IF(D37&lt;&gt;"",COUNTA($D$33:D37),"---")</f>
        <v>5</v>
      </c>
      <c r="C37" s="12">
        <v>5983</v>
      </c>
      <c r="D37" s="13" t="s">
        <v>53</v>
      </c>
      <c r="E37" s="14" t="s">
        <v>54</v>
      </c>
      <c r="F37" s="13" t="s">
        <v>178</v>
      </c>
      <c r="G37" s="15" t="s">
        <v>54</v>
      </c>
      <c r="H37" s="14">
        <v>46038</v>
      </c>
      <c r="I37" s="13" t="s">
        <v>190</v>
      </c>
      <c r="J37" s="13" t="s">
        <v>111</v>
      </c>
      <c r="K37" s="16" t="s">
        <v>55</v>
      </c>
      <c r="L37" s="16">
        <v>46403</v>
      </c>
      <c r="M37" s="15"/>
      <c r="N37" s="15"/>
      <c r="O37" s="15"/>
      <c r="P37" s="15"/>
      <c r="Q37" s="15"/>
    </row>
    <row r="38" spans="1:17" ht="15">
      <c r="A38" s="12">
        <f>IF(D38&lt;&gt;"",COUNTA($D$7:D38),"---")</f>
        <v>26</v>
      </c>
      <c r="B38" s="12">
        <f>IF(D38&lt;&gt;"",COUNTA($D$33:D38),"---")</f>
        <v>6</v>
      </c>
      <c r="C38" s="12">
        <v>5974</v>
      </c>
      <c r="D38" s="13" t="s">
        <v>56</v>
      </c>
      <c r="E38" s="14">
        <v>45966</v>
      </c>
      <c r="F38" s="13" t="s">
        <v>177</v>
      </c>
      <c r="G38" s="14">
        <v>45966</v>
      </c>
      <c r="H38" s="14">
        <v>45995</v>
      </c>
      <c r="I38" s="13" t="s">
        <v>186</v>
      </c>
      <c r="J38" s="13" t="s">
        <v>111</v>
      </c>
      <c r="K38" s="16">
        <v>45996</v>
      </c>
      <c r="L38" s="16">
        <v>46360</v>
      </c>
      <c r="M38" s="14"/>
      <c r="N38" s="14"/>
      <c r="O38" s="14"/>
      <c r="P38" s="14"/>
      <c r="Q38" s="14"/>
    </row>
    <row r="39" spans="1:17" ht="15">
      <c r="A39" s="12">
        <f>IF(D39&lt;&gt;"",COUNTA($D$7:D39),"---")</f>
        <v>27</v>
      </c>
      <c r="B39" s="12">
        <f>IF(D39&lt;&gt;"",COUNTA($D$33:D39),"---")</f>
        <v>7</v>
      </c>
      <c r="C39" s="12">
        <v>6000</v>
      </c>
      <c r="D39" s="13" t="s">
        <v>57</v>
      </c>
      <c r="E39" s="14" t="s">
        <v>54</v>
      </c>
      <c r="F39" s="13" t="s">
        <v>176</v>
      </c>
      <c r="G39" s="15" t="s">
        <v>54</v>
      </c>
      <c r="H39" s="14">
        <v>46007</v>
      </c>
      <c r="I39" s="13" t="s">
        <v>187</v>
      </c>
      <c r="J39" s="13" t="s">
        <v>111</v>
      </c>
      <c r="K39" s="16" t="s">
        <v>58</v>
      </c>
      <c r="L39" s="16">
        <v>46372</v>
      </c>
      <c r="M39" s="15"/>
      <c r="N39" s="15"/>
      <c r="O39" s="15"/>
      <c r="P39" s="15"/>
      <c r="Q39" s="15"/>
    </row>
    <row r="40" spans="1:17" ht="15.75">
      <c r="A40" s="9"/>
      <c r="B40" s="9"/>
      <c r="C40" s="9" t="s">
        <v>59</v>
      </c>
      <c r="D40" s="9"/>
      <c r="E40" s="10"/>
      <c r="F40" s="54"/>
      <c r="G40" s="9"/>
      <c r="H40" s="9"/>
      <c r="I40" s="47"/>
      <c r="J40" s="9"/>
      <c r="K40" s="11"/>
      <c r="L40" s="11"/>
      <c r="M40" s="9"/>
      <c r="N40" s="9"/>
      <c r="O40" s="9"/>
      <c r="P40" s="9"/>
      <c r="Q40" s="9"/>
    </row>
    <row r="41" spans="1:17" s="23" customFormat="1" ht="15">
      <c r="A41" s="12">
        <f>IF(D41&lt;&gt;"",COUNTA($D$7:D41),"---")</f>
        <v>28</v>
      </c>
      <c r="B41" s="12">
        <f>IF(D41&lt;&gt;"",COUNTA($D$41:D41),"---")</f>
        <v>1</v>
      </c>
      <c r="C41" s="17">
        <v>5402</v>
      </c>
      <c r="D41" s="18" t="s">
        <v>60</v>
      </c>
      <c r="E41" s="30">
        <v>45941</v>
      </c>
      <c r="F41" s="55"/>
      <c r="G41" s="21"/>
      <c r="H41" s="21"/>
      <c r="I41" s="13" t="s">
        <v>183</v>
      </c>
      <c r="J41" s="13" t="s">
        <v>111</v>
      </c>
      <c r="K41" s="31">
        <v>45941</v>
      </c>
      <c r="L41" s="31">
        <v>46305</v>
      </c>
      <c r="M41" s="21"/>
      <c r="N41" s="21"/>
      <c r="O41" s="21"/>
      <c r="P41" s="21"/>
      <c r="Q41" s="21"/>
    </row>
    <row r="42" spans="1:17" ht="15">
      <c r="A42" s="12">
        <f>IF(D42&lt;&gt;"",COUNTA($D$7:D42),"---")</f>
        <v>29</v>
      </c>
      <c r="B42" s="12">
        <f>IF(D42&lt;&gt;"",COUNTA($D$41:D42),"---")</f>
        <v>2</v>
      </c>
      <c r="C42" s="38">
        <v>6545</v>
      </c>
      <c r="D42" s="13" t="s">
        <v>199</v>
      </c>
      <c r="E42" s="57">
        <v>46189</v>
      </c>
      <c r="F42" s="13" t="s">
        <v>200</v>
      </c>
      <c r="G42" s="39">
        <v>46189</v>
      </c>
      <c r="H42" s="39">
        <v>46249</v>
      </c>
      <c r="I42" s="13"/>
      <c r="J42" s="13"/>
      <c r="K42" s="59"/>
      <c r="L42" s="59"/>
      <c r="M42" s="58"/>
      <c r="N42" s="58"/>
      <c r="O42" s="58"/>
      <c r="P42" s="58"/>
      <c r="Q42" s="58"/>
    </row>
    <row r="43" spans="1:17" ht="15">
      <c r="A43" s="12">
        <f>IF(D43&lt;&gt;"",COUNTA($D$7:D43),"---")</f>
        <v>30</v>
      </c>
      <c r="B43" s="12">
        <f>IF(D43&lt;&gt;"",COUNTA($D$41:D43),"---")</f>
        <v>3</v>
      </c>
      <c r="C43" s="38">
        <v>6048</v>
      </c>
      <c r="D43" s="13" t="s">
        <v>61</v>
      </c>
      <c r="E43" s="39">
        <v>46027</v>
      </c>
      <c r="F43" s="13" t="s">
        <v>164</v>
      </c>
      <c r="G43" s="39">
        <v>46027</v>
      </c>
      <c r="H43" s="39">
        <v>46085</v>
      </c>
      <c r="I43" s="13" t="s">
        <v>172</v>
      </c>
      <c r="J43" s="13" t="s">
        <v>111</v>
      </c>
      <c r="K43" s="40">
        <v>46086</v>
      </c>
      <c r="L43" s="40">
        <v>46450</v>
      </c>
      <c r="M43" s="39"/>
      <c r="N43" s="39"/>
      <c r="O43" s="39"/>
      <c r="P43" s="39"/>
      <c r="Q43" s="39"/>
    </row>
    <row r="44" spans="1:17" ht="15">
      <c r="A44" s="12">
        <f>IF(D44&lt;&gt;"",COUNTA($D$7:D44),"---")</f>
        <v>31</v>
      </c>
      <c r="B44" s="12">
        <f>IF(D44&lt;&gt;"",COUNTA($D$41:D44),"---")</f>
        <v>4</v>
      </c>
      <c r="C44" s="38">
        <v>6337</v>
      </c>
      <c r="D44" s="13" t="s">
        <v>62</v>
      </c>
      <c r="E44" s="39">
        <v>46133</v>
      </c>
      <c r="F44" s="13" t="s">
        <v>165</v>
      </c>
      <c r="G44" s="39">
        <v>46133</v>
      </c>
      <c r="H44" s="39">
        <v>46193</v>
      </c>
      <c r="I44" s="13"/>
      <c r="J44" s="13"/>
      <c r="K44" s="40"/>
      <c r="L44" s="40"/>
      <c r="M44" s="39"/>
      <c r="N44" s="39"/>
      <c r="O44" s="39"/>
      <c r="P44" s="39"/>
      <c r="Q44" s="39"/>
    </row>
    <row r="45" spans="1:17" ht="15">
      <c r="A45" s="24">
        <f>IF(D45&lt;&gt;"",COUNTA($D$7:D45),"---")</f>
        <v>32</v>
      </c>
      <c r="B45" s="24">
        <f>IF(D45&lt;&gt;"",COUNTA($D$41:D45),"---")</f>
        <v>5</v>
      </c>
      <c r="C45" s="24">
        <v>6226</v>
      </c>
      <c r="D45" s="25" t="s">
        <v>63</v>
      </c>
      <c r="E45" s="26" t="s">
        <v>15</v>
      </c>
      <c r="F45" s="13" t="s">
        <v>166</v>
      </c>
      <c r="G45" s="26" t="s">
        <v>15</v>
      </c>
      <c r="H45" s="26">
        <v>46164</v>
      </c>
      <c r="I45" s="13" t="s">
        <v>173</v>
      </c>
      <c r="J45" s="13" t="s">
        <v>111</v>
      </c>
      <c r="K45" s="27" t="s">
        <v>16</v>
      </c>
      <c r="L45" s="27">
        <v>46529</v>
      </c>
      <c r="M45" s="26"/>
      <c r="N45" s="26"/>
      <c r="O45" s="26"/>
      <c r="P45" s="26"/>
      <c r="Q45" s="26"/>
    </row>
    <row r="46" spans="1:17" s="24" customFormat="1" ht="15">
      <c r="A46" s="24">
        <f>IF(D46&lt;&gt;"",COUNTA($D$7:D46),"---")</f>
        <v>33</v>
      </c>
      <c r="B46" s="24">
        <f>IF(D46&lt;&gt;"",COUNTA($D$41:D46),"---")</f>
        <v>6</v>
      </c>
      <c r="C46" s="24">
        <v>6386</v>
      </c>
      <c r="D46" s="25" t="s">
        <v>64</v>
      </c>
      <c r="E46" s="26">
        <v>46146</v>
      </c>
      <c r="F46" s="13" t="s">
        <v>167</v>
      </c>
      <c r="G46" s="26">
        <v>46146</v>
      </c>
      <c r="H46" s="26">
        <v>46176</v>
      </c>
      <c r="I46" s="13" t="s">
        <v>174</v>
      </c>
      <c r="J46" s="13" t="s">
        <v>111</v>
      </c>
      <c r="K46" s="26">
        <v>46177</v>
      </c>
      <c r="L46" s="26">
        <v>46541</v>
      </c>
      <c r="M46" s="26"/>
      <c r="N46" s="26"/>
      <c r="O46" s="26"/>
      <c r="P46" s="26"/>
      <c r="Q46" s="26"/>
    </row>
    <row r="47" spans="1:17" s="41" customFormat="1" ht="15">
      <c r="A47" s="24">
        <f>IF(D47&lt;&gt;"",COUNTA($D$7:D47),"---")</f>
        <v>34</v>
      </c>
      <c r="B47" s="24">
        <f>IF(D47&lt;&gt;"",COUNTA($D$41:D47),"---")</f>
        <v>7</v>
      </c>
      <c r="C47" s="24">
        <v>6415</v>
      </c>
      <c r="D47" s="25" t="s">
        <v>65</v>
      </c>
      <c r="E47" s="26">
        <v>46154</v>
      </c>
      <c r="F47" s="13" t="s">
        <v>168</v>
      </c>
      <c r="G47" s="26">
        <v>46154</v>
      </c>
      <c r="H47" s="26">
        <v>46214</v>
      </c>
      <c r="I47" s="13"/>
      <c r="J47" s="13"/>
      <c r="K47" s="26"/>
      <c r="L47" s="26"/>
      <c r="M47" s="26"/>
      <c r="N47" s="26"/>
      <c r="O47" s="26"/>
      <c r="P47" s="26"/>
      <c r="Q47" s="26"/>
    </row>
    <row r="48" spans="1:17" s="41" customFormat="1" ht="15">
      <c r="A48" s="24">
        <f>IF(D48&lt;&gt;"",COUNTA($D$7:D48),"---")</f>
        <v>35</v>
      </c>
      <c r="B48" s="24">
        <f>IF(D48&lt;&gt;"",COUNTA($D$41:D48),"---")</f>
        <v>8</v>
      </c>
      <c r="C48" s="24">
        <v>6475</v>
      </c>
      <c r="D48" s="25" t="s">
        <v>66</v>
      </c>
      <c r="E48" s="26">
        <v>46167</v>
      </c>
      <c r="F48" s="13" t="s">
        <v>169</v>
      </c>
      <c r="G48" s="26">
        <v>46167</v>
      </c>
      <c r="H48" s="26">
        <v>46227</v>
      </c>
      <c r="I48" s="13"/>
      <c r="J48" s="13"/>
      <c r="K48" s="26"/>
      <c r="L48" s="26"/>
      <c r="M48" s="26"/>
      <c r="N48" s="26"/>
      <c r="O48" s="26"/>
      <c r="P48" s="26"/>
      <c r="Q48" s="26"/>
    </row>
    <row r="49" spans="1:17" ht="15">
      <c r="A49" s="24">
        <f>IF(D49&lt;&gt;"",COUNTA($D$7:D49),"---")</f>
        <v>36</v>
      </c>
      <c r="B49" s="24">
        <f>IF(D49&lt;&gt;"",COUNTA($D$41:D49),"---")</f>
        <v>9</v>
      </c>
      <c r="C49" s="24">
        <v>6225</v>
      </c>
      <c r="D49" s="25" t="s">
        <v>67</v>
      </c>
      <c r="E49" s="26" t="s">
        <v>68</v>
      </c>
      <c r="F49" s="13" t="s">
        <v>170</v>
      </c>
      <c r="G49" s="26" t="s">
        <v>68</v>
      </c>
      <c r="H49" s="26">
        <v>46158</v>
      </c>
      <c r="I49" s="13" t="s">
        <v>175</v>
      </c>
      <c r="J49" s="13" t="s">
        <v>111</v>
      </c>
      <c r="K49" s="27" t="s">
        <v>69</v>
      </c>
      <c r="L49" s="27">
        <v>46523</v>
      </c>
      <c r="M49" s="26"/>
      <c r="N49" s="26"/>
      <c r="O49" s="26"/>
      <c r="P49" s="26"/>
      <c r="Q49" s="26"/>
    </row>
    <row r="50" spans="1:17" s="24" customFormat="1" ht="15">
      <c r="A50" s="24">
        <f>IF(D50&lt;&gt;"",COUNTA($D$7:D50),"---")</f>
        <v>37</v>
      </c>
      <c r="B50" s="24">
        <f>IF(D50&lt;&gt;"",COUNTA($D$41:D50),"---")</f>
        <v>10</v>
      </c>
      <c r="C50" s="24">
        <v>6498</v>
      </c>
      <c r="D50" s="25" t="s">
        <v>70</v>
      </c>
      <c r="E50" s="26">
        <v>46174</v>
      </c>
      <c r="F50" s="13" t="s">
        <v>171</v>
      </c>
      <c r="G50" s="26">
        <v>46174</v>
      </c>
      <c r="H50" s="26">
        <v>46234</v>
      </c>
      <c r="I50" s="48"/>
      <c r="J50" s="26"/>
      <c r="K50" s="26"/>
      <c r="L50" s="26"/>
      <c r="M50" s="26"/>
      <c r="N50" s="26"/>
      <c r="O50" s="26"/>
      <c r="P50" s="26"/>
      <c r="Q50" s="26"/>
    </row>
    <row r="51" spans="1:17" ht="15.75">
      <c r="A51" s="9" t="s">
        <v>11</v>
      </c>
      <c r="B51" s="9"/>
      <c r="C51" s="9" t="s">
        <v>71</v>
      </c>
      <c r="D51" s="9"/>
      <c r="E51" s="10"/>
      <c r="F51" s="54"/>
      <c r="G51" s="9"/>
      <c r="H51" s="9"/>
      <c r="I51" s="47"/>
      <c r="J51" s="9"/>
      <c r="K51" s="11"/>
      <c r="L51" s="11"/>
      <c r="M51" s="9"/>
      <c r="N51" s="9"/>
      <c r="O51" s="9"/>
      <c r="P51" s="9"/>
      <c r="Q51" s="9"/>
    </row>
    <row r="52" spans="1:17" s="23" customFormat="1" ht="15">
      <c r="A52" s="17">
        <f>IF(D52&lt;&gt;"",COUNTA($D$7:D52),"---")</f>
        <v>38</v>
      </c>
      <c r="B52" s="17">
        <f>IF(D52&lt;&gt;"",COUNTA($D$52:D52),"---")</f>
        <v>1</v>
      </c>
      <c r="C52" s="17">
        <v>4218</v>
      </c>
      <c r="D52" s="18" t="s">
        <v>72</v>
      </c>
      <c r="E52" s="20">
        <v>45992</v>
      </c>
      <c r="F52" s="19"/>
      <c r="G52" s="21"/>
      <c r="H52" s="21"/>
      <c r="I52" s="18" t="s">
        <v>163</v>
      </c>
      <c r="J52" s="18" t="s">
        <v>111</v>
      </c>
      <c r="K52" s="22">
        <v>45992</v>
      </c>
      <c r="L52" s="22">
        <v>46356</v>
      </c>
      <c r="M52" s="21"/>
      <c r="N52" s="21"/>
      <c r="O52" s="21"/>
      <c r="P52" s="21"/>
      <c r="Q52" s="21"/>
    </row>
    <row r="53" spans="1:17" ht="15">
      <c r="A53" s="12">
        <f>IF(D53&lt;&gt;"",COUNTA($D$7:D53),"---")</f>
        <v>39</v>
      </c>
      <c r="B53" s="12">
        <f>IF(D53&lt;&gt;"",COUNTA($D$52:D53),"---")</f>
        <v>2</v>
      </c>
      <c r="C53" s="12">
        <v>5957</v>
      </c>
      <c r="D53" s="13" t="s">
        <v>73</v>
      </c>
      <c r="E53" s="14">
        <v>45964</v>
      </c>
      <c r="F53" s="13" t="s">
        <v>157</v>
      </c>
      <c r="G53" s="14">
        <v>45964</v>
      </c>
      <c r="H53" s="14">
        <v>46024</v>
      </c>
      <c r="I53" s="13" t="s">
        <v>158</v>
      </c>
      <c r="J53" s="13" t="s">
        <v>111</v>
      </c>
      <c r="K53" s="16">
        <v>46025</v>
      </c>
      <c r="L53" s="16">
        <v>46389</v>
      </c>
      <c r="M53" s="14"/>
      <c r="N53" s="14"/>
      <c r="O53" s="14"/>
      <c r="P53" s="14"/>
      <c r="Q53" s="14"/>
    </row>
    <row r="54" spans="1:17" ht="15">
      <c r="A54" s="12">
        <f>IF(D54&lt;&gt;"",COUNTA($D$7:D54),"---")</f>
        <v>40</v>
      </c>
      <c r="B54" s="12">
        <f>IF(D54&lt;&gt;"",COUNTA($D$52:D54),"---")</f>
        <v>3</v>
      </c>
      <c r="C54" s="12">
        <v>6001</v>
      </c>
      <c r="D54" s="13" t="s">
        <v>74</v>
      </c>
      <c r="E54" s="14" t="s">
        <v>75</v>
      </c>
      <c r="F54" s="13" t="s">
        <v>156</v>
      </c>
      <c r="G54" s="15" t="s">
        <v>75</v>
      </c>
      <c r="H54" s="14">
        <v>46014</v>
      </c>
      <c r="I54" s="13" t="s">
        <v>159</v>
      </c>
      <c r="J54" s="13" t="s">
        <v>111</v>
      </c>
      <c r="K54" s="16" t="s">
        <v>76</v>
      </c>
      <c r="L54" s="16">
        <v>46379</v>
      </c>
      <c r="M54" s="15"/>
      <c r="N54" s="15"/>
      <c r="O54" s="15"/>
      <c r="P54" s="15"/>
      <c r="Q54" s="15"/>
    </row>
    <row r="55" spans="1:17" ht="15">
      <c r="A55" s="12">
        <f>IF(D55&lt;&gt;"",COUNTA($D$7:D55),"---")</f>
        <v>41</v>
      </c>
      <c r="B55" s="12">
        <f>IF(D55&lt;&gt;"",COUNTA($D$52:D55),"---")</f>
        <v>4</v>
      </c>
      <c r="C55" s="24">
        <v>6159</v>
      </c>
      <c r="D55" s="25" t="s">
        <v>77</v>
      </c>
      <c r="E55" s="26">
        <v>46083</v>
      </c>
      <c r="F55" s="13" t="s">
        <v>155</v>
      </c>
      <c r="G55" s="26">
        <v>46083</v>
      </c>
      <c r="H55" s="26">
        <v>46113</v>
      </c>
      <c r="I55" s="13" t="s">
        <v>160</v>
      </c>
      <c r="J55" s="13" t="s">
        <v>111</v>
      </c>
      <c r="K55" s="27">
        <v>46114</v>
      </c>
      <c r="L55" s="27">
        <v>46478</v>
      </c>
      <c r="M55" s="26"/>
      <c r="N55" s="26"/>
      <c r="O55" s="26"/>
      <c r="P55" s="26"/>
      <c r="Q55" s="26"/>
    </row>
    <row r="56" spans="1:17" ht="15">
      <c r="A56" s="12">
        <f>IF(D56&lt;&gt;"",COUNTA($D$7:D56),"---")</f>
        <v>42</v>
      </c>
      <c r="B56" s="12">
        <f>IF(D56&lt;&gt;"",COUNTA($D$52:D56),"---")</f>
        <v>5</v>
      </c>
      <c r="C56" s="24">
        <v>6182</v>
      </c>
      <c r="D56" s="25" t="s">
        <v>78</v>
      </c>
      <c r="E56" s="26">
        <v>46090</v>
      </c>
      <c r="F56" s="13" t="s">
        <v>154</v>
      </c>
      <c r="G56" s="26">
        <v>46090</v>
      </c>
      <c r="H56" s="26">
        <v>46150</v>
      </c>
      <c r="I56" s="13" t="s">
        <v>161</v>
      </c>
      <c r="J56" s="13" t="s">
        <v>111</v>
      </c>
      <c r="K56" s="27">
        <v>46151</v>
      </c>
      <c r="L56" s="27">
        <v>46515</v>
      </c>
      <c r="M56" s="26"/>
      <c r="N56" s="26"/>
      <c r="O56" s="26"/>
      <c r="P56" s="26"/>
      <c r="Q56" s="26"/>
    </row>
    <row r="57" spans="1:17" ht="15">
      <c r="A57" s="12">
        <f>IF(D57&lt;&gt;"",COUNTA($D$7:D57),"---")</f>
        <v>43</v>
      </c>
      <c r="B57" s="12">
        <f>IF(D57&lt;&gt;"",COUNTA($D$52:D57),"---")</f>
        <v>6</v>
      </c>
      <c r="C57" s="24">
        <v>6224</v>
      </c>
      <c r="D57" s="25" t="s">
        <v>79</v>
      </c>
      <c r="E57" s="26" t="s">
        <v>9</v>
      </c>
      <c r="F57" s="13" t="s">
        <v>153</v>
      </c>
      <c r="G57" s="26" t="s">
        <v>9</v>
      </c>
      <c r="H57" s="26">
        <v>46127</v>
      </c>
      <c r="I57" s="13" t="s">
        <v>162</v>
      </c>
      <c r="J57" s="13" t="s">
        <v>111</v>
      </c>
      <c r="K57" s="27" t="s">
        <v>10</v>
      </c>
      <c r="L57" s="27">
        <v>46492</v>
      </c>
      <c r="M57" s="26"/>
      <c r="N57" s="26"/>
      <c r="O57" s="26"/>
      <c r="P57" s="26"/>
      <c r="Q57" s="26"/>
    </row>
    <row r="58" spans="1:17" s="23" customFormat="1" ht="15">
      <c r="A58" s="17">
        <f>IF(D58&lt;&gt;"",COUNTA($D$7:D58),"---")</f>
        <v>44</v>
      </c>
      <c r="B58" s="17">
        <f>IF(D58&lt;&gt;"",COUNTA($D$52:D58),"---")</f>
        <v>7</v>
      </c>
      <c r="C58" s="17">
        <v>5471</v>
      </c>
      <c r="D58" s="18" t="s">
        <v>80</v>
      </c>
      <c r="E58" s="20">
        <v>45992</v>
      </c>
      <c r="F58" s="19"/>
      <c r="G58" s="21"/>
      <c r="H58" s="21"/>
      <c r="I58" s="21" t="s">
        <v>151</v>
      </c>
      <c r="J58" s="18" t="s">
        <v>111</v>
      </c>
      <c r="K58" s="22">
        <v>45992</v>
      </c>
      <c r="L58" s="22">
        <v>46356</v>
      </c>
      <c r="M58" s="21"/>
      <c r="N58" s="21"/>
      <c r="O58" s="21"/>
      <c r="P58" s="21"/>
      <c r="Q58" s="21"/>
    </row>
    <row r="59" spans="1:17" s="23" customFormat="1" ht="15">
      <c r="A59" s="17">
        <f>IF(D59&lt;&gt;"",COUNTA($D$7:D59),"---")</f>
        <v>45</v>
      </c>
      <c r="B59" s="17">
        <f>IF(D59&lt;&gt;"",COUNTA($D$52:D59),"---")</f>
        <v>8</v>
      </c>
      <c r="C59" s="17">
        <v>4203</v>
      </c>
      <c r="D59" s="18" t="s">
        <v>81</v>
      </c>
      <c r="E59" s="20" t="s">
        <v>82</v>
      </c>
      <c r="F59" s="19"/>
      <c r="G59" s="21"/>
      <c r="H59" s="21"/>
      <c r="I59" s="21" t="s">
        <v>152</v>
      </c>
      <c r="J59" s="18" t="s">
        <v>111</v>
      </c>
      <c r="K59" s="22" t="s">
        <v>82</v>
      </c>
      <c r="L59" s="22">
        <v>46340</v>
      </c>
      <c r="M59" s="21"/>
      <c r="N59" s="21"/>
      <c r="O59" s="21"/>
      <c r="P59" s="21"/>
      <c r="Q59" s="21"/>
    </row>
    <row r="60" spans="1:17" ht="15">
      <c r="A60" s="24">
        <f>IF(D60&lt;&gt;"",COUNTA($D$7:D60),"---")</f>
        <v>46</v>
      </c>
      <c r="B60" s="24">
        <f>IF(D60&lt;&gt;"",COUNTA($D$52:D60),"---")</f>
        <v>9</v>
      </c>
      <c r="C60" s="24">
        <v>6312</v>
      </c>
      <c r="D60" s="25" t="s">
        <v>83</v>
      </c>
      <c r="E60" s="26">
        <v>46123</v>
      </c>
      <c r="F60" s="13" t="s">
        <v>147</v>
      </c>
      <c r="G60" s="26">
        <v>46123</v>
      </c>
      <c r="H60" s="26">
        <v>46152</v>
      </c>
      <c r="I60" s="13" t="s">
        <v>149</v>
      </c>
      <c r="J60" s="13" t="s">
        <v>111</v>
      </c>
      <c r="K60" s="27">
        <v>46153</v>
      </c>
      <c r="L60" s="27">
        <v>46517</v>
      </c>
      <c r="M60" s="26"/>
      <c r="N60" s="26"/>
      <c r="O60" s="26"/>
      <c r="P60" s="26"/>
      <c r="Q60" s="26"/>
    </row>
    <row r="61" spans="1:17" ht="15">
      <c r="A61" s="24">
        <f>IF(D61&lt;&gt;"",COUNTA($D$7:D61),"---")</f>
        <v>47</v>
      </c>
      <c r="B61" s="24">
        <f>IF(D61&lt;&gt;"",COUNTA($D$52:D61),"---")</f>
        <v>10</v>
      </c>
      <c r="C61" s="24">
        <v>6316</v>
      </c>
      <c r="D61" s="25" t="s">
        <v>84</v>
      </c>
      <c r="E61" s="26">
        <v>46128</v>
      </c>
      <c r="F61" s="13" t="s">
        <v>142</v>
      </c>
      <c r="G61" s="26">
        <v>46128</v>
      </c>
      <c r="H61" s="26">
        <v>46157</v>
      </c>
      <c r="I61" s="13" t="s">
        <v>148</v>
      </c>
      <c r="J61" s="13" t="s">
        <v>111</v>
      </c>
      <c r="K61" s="27">
        <v>46158</v>
      </c>
      <c r="L61" s="27">
        <v>46522</v>
      </c>
      <c r="M61" s="26"/>
      <c r="N61" s="26"/>
      <c r="O61" s="26"/>
      <c r="P61" s="26"/>
      <c r="Q61" s="26"/>
    </row>
    <row r="62" spans="1:17" s="24" customFormat="1" ht="15">
      <c r="A62" s="24">
        <f>IF(D62&lt;&gt;"",COUNTA($D$7:D62),"---")</f>
        <v>48</v>
      </c>
      <c r="B62" s="24">
        <f>IF(D62&lt;&gt;"",COUNTA($D$52:D62),"---")</f>
        <v>11</v>
      </c>
      <c r="C62" s="24">
        <v>6384</v>
      </c>
      <c r="D62" s="25" t="s">
        <v>85</v>
      </c>
      <c r="E62" s="26">
        <v>46146</v>
      </c>
      <c r="F62" s="13" t="s">
        <v>141</v>
      </c>
      <c r="G62" s="26">
        <v>46146</v>
      </c>
      <c r="H62" s="26">
        <v>46206</v>
      </c>
      <c r="I62" s="13"/>
      <c r="J62" s="13"/>
      <c r="K62" s="26"/>
      <c r="L62" s="26"/>
      <c r="M62" s="26"/>
      <c r="N62" s="26"/>
      <c r="O62" s="26"/>
      <c r="P62" s="26"/>
      <c r="Q62" s="26"/>
    </row>
    <row r="63" spans="1:17" ht="15.75">
      <c r="A63" s="9"/>
      <c r="B63" s="9"/>
      <c r="C63" s="9" t="s">
        <v>86</v>
      </c>
      <c r="D63" s="9"/>
      <c r="E63" s="10"/>
      <c r="F63" s="54"/>
      <c r="G63" s="9"/>
      <c r="H63" s="9"/>
      <c r="I63" s="47"/>
      <c r="J63" s="9"/>
      <c r="K63" s="11"/>
      <c r="L63" s="11"/>
      <c r="M63" s="9"/>
      <c r="N63" s="9"/>
      <c r="O63" s="9"/>
      <c r="P63" s="9"/>
      <c r="Q63" s="9"/>
    </row>
    <row r="64" spans="1:17" ht="15">
      <c r="A64" s="12">
        <f>IF(D64&lt;&gt;"",COUNTA($D$7:D64),"---")</f>
        <v>49</v>
      </c>
      <c r="B64" s="12">
        <f>IF(D64&lt;&gt;"",COUNTA($D$64:D64),"---")</f>
        <v>1</v>
      </c>
      <c r="C64" s="12">
        <v>5845</v>
      </c>
      <c r="D64" s="13" t="s">
        <v>87</v>
      </c>
      <c r="E64" s="14">
        <v>45880</v>
      </c>
      <c r="F64" s="13"/>
      <c r="G64" s="15"/>
      <c r="H64" s="15"/>
      <c r="I64" s="13" t="s">
        <v>138</v>
      </c>
      <c r="J64" s="13" t="s">
        <v>111</v>
      </c>
      <c r="K64" s="16">
        <v>45880</v>
      </c>
      <c r="L64" s="16">
        <v>46244</v>
      </c>
      <c r="M64" s="15"/>
      <c r="N64" s="15"/>
      <c r="O64" s="15"/>
      <c r="P64" s="15"/>
      <c r="Q64" s="15"/>
    </row>
    <row r="65" spans="1:17" ht="15">
      <c r="A65" s="12">
        <f>IF(D65&lt;&gt;"",COUNTA($D$7:D65),"---")</f>
        <v>50</v>
      </c>
      <c r="B65" s="12">
        <f>IF(D65&lt;&gt;"",COUNTA($D$64:D65),"---")</f>
        <v>2</v>
      </c>
      <c r="C65" s="24">
        <v>6138</v>
      </c>
      <c r="D65" s="25" t="s">
        <v>88</v>
      </c>
      <c r="E65" s="14" t="s">
        <v>89</v>
      </c>
      <c r="F65" s="13" t="s">
        <v>126</v>
      </c>
      <c r="G65" s="28" t="s">
        <v>89</v>
      </c>
      <c r="H65" s="26">
        <v>46134</v>
      </c>
      <c r="I65" s="13" t="s">
        <v>137</v>
      </c>
      <c r="J65" s="13" t="s">
        <v>111</v>
      </c>
      <c r="K65" s="27" t="s">
        <v>90</v>
      </c>
      <c r="L65" s="27">
        <v>46499</v>
      </c>
      <c r="M65" s="28"/>
      <c r="N65" s="28"/>
      <c r="O65" s="28"/>
      <c r="P65" s="28"/>
      <c r="Q65" s="28"/>
    </row>
    <row r="66" spans="1:17" ht="15.75">
      <c r="A66" s="9" t="s">
        <v>11</v>
      </c>
      <c r="B66" s="9"/>
      <c r="C66" s="9" t="s">
        <v>91</v>
      </c>
      <c r="D66" s="9"/>
      <c r="E66" s="10"/>
      <c r="F66" s="54"/>
      <c r="G66" s="9"/>
      <c r="H66" s="9"/>
      <c r="I66" s="47"/>
      <c r="J66" s="9"/>
      <c r="K66" s="11"/>
      <c r="L66" s="11"/>
      <c r="M66" s="9"/>
      <c r="N66" s="9"/>
      <c r="O66" s="9"/>
      <c r="P66" s="9"/>
      <c r="Q66" s="9"/>
    </row>
    <row r="67" spans="1:17" ht="15">
      <c r="A67" s="12">
        <f>IF(D67&lt;&gt;"",COUNTA($D$7:D67),"---")</f>
        <v>51</v>
      </c>
      <c r="B67" s="12">
        <f>IF(D67&lt;&gt;"",COUNTA($D$67:D67),"---")</f>
        <v>1</v>
      </c>
      <c r="C67" s="12">
        <v>6071</v>
      </c>
      <c r="D67" s="13" t="s">
        <v>92</v>
      </c>
      <c r="E67" s="14">
        <v>46034</v>
      </c>
      <c r="F67" s="13" t="s">
        <v>140</v>
      </c>
      <c r="G67" s="14">
        <v>46034</v>
      </c>
      <c r="H67" s="14">
        <v>46092</v>
      </c>
      <c r="I67" s="13" t="s">
        <v>139</v>
      </c>
      <c r="J67" s="13" t="s">
        <v>111</v>
      </c>
      <c r="K67" s="16">
        <v>46093</v>
      </c>
      <c r="L67" s="16">
        <v>46153</v>
      </c>
      <c r="M67" s="14"/>
      <c r="N67" s="14"/>
      <c r="O67" s="14"/>
      <c r="P67" s="14"/>
      <c r="Q67" s="14"/>
    </row>
    <row r="68" spans="1:17" ht="15">
      <c r="A68" s="12">
        <f>IF(D68&lt;&gt;"",COUNTA($D$7:D68),"---")</f>
        <v>52</v>
      </c>
      <c r="B68" s="12">
        <f>IF(D68&lt;&gt;"",COUNTA($D$67:D68),"---")</f>
        <v>2</v>
      </c>
      <c r="C68" s="24">
        <v>6183</v>
      </c>
      <c r="D68" s="25" t="s">
        <v>93</v>
      </c>
      <c r="E68" s="26">
        <v>46090</v>
      </c>
      <c r="F68" s="13" t="s">
        <v>143</v>
      </c>
      <c r="G68" s="26">
        <v>46090</v>
      </c>
      <c r="H68" s="26">
        <v>46150</v>
      </c>
      <c r="I68" s="13" t="s">
        <v>135</v>
      </c>
      <c r="J68" s="13" t="s">
        <v>111</v>
      </c>
      <c r="K68" s="27">
        <v>46151</v>
      </c>
      <c r="L68" s="27">
        <v>46515</v>
      </c>
      <c r="M68" s="26"/>
      <c r="N68" s="26"/>
      <c r="O68" s="26"/>
      <c r="P68" s="26"/>
      <c r="Q68" s="26"/>
    </row>
    <row r="69" spans="1:17" s="24" customFormat="1" ht="15">
      <c r="A69" s="24">
        <f>IF(D69&lt;&gt;"",COUNTA($D$7:D69),"---")</f>
        <v>53</v>
      </c>
      <c r="B69" s="24">
        <f>IF(D69&lt;&gt;"",COUNTA($D$67:D69),"---")</f>
        <v>3</v>
      </c>
      <c r="C69" s="24">
        <v>6512</v>
      </c>
      <c r="D69" s="25" t="s">
        <v>94</v>
      </c>
      <c r="E69" s="26">
        <v>46181</v>
      </c>
      <c r="F69" s="13" t="s">
        <v>136</v>
      </c>
      <c r="G69" s="26">
        <v>46181</v>
      </c>
      <c r="H69" s="26">
        <v>46241</v>
      </c>
      <c r="I69" s="48"/>
      <c r="J69" s="26"/>
      <c r="K69" s="26"/>
      <c r="L69" s="26"/>
      <c r="M69" s="26"/>
      <c r="N69" s="26"/>
      <c r="O69" s="26"/>
      <c r="P69" s="26"/>
      <c r="Q69" s="26"/>
    </row>
    <row r="70" spans="1:17" ht="15">
      <c r="A70" s="12">
        <f>IF(D70&lt;&gt;"",COUNTA($D$7:D70),"---")</f>
        <v>54</v>
      </c>
      <c r="B70" s="12">
        <f>IF(D70&lt;&gt;"",COUNTA($D$67:D70),"---")</f>
        <v>4</v>
      </c>
      <c r="C70" s="24">
        <v>6332</v>
      </c>
      <c r="D70" s="25" t="s">
        <v>95</v>
      </c>
      <c r="E70" s="26">
        <v>46129</v>
      </c>
      <c r="F70" s="13" t="s">
        <v>144</v>
      </c>
      <c r="G70" s="26">
        <v>46129</v>
      </c>
      <c r="H70" s="26">
        <v>46158</v>
      </c>
      <c r="I70" s="13" t="s">
        <v>134</v>
      </c>
      <c r="J70" s="13" t="s">
        <v>111</v>
      </c>
      <c r="K70" s="27">
        <v>46159</v>
      </c>
      <c r="L70" s="27">
        <v>46523</v>
      </c>
      <c r="M70" s="26"/>
      <c r="N70" s="26"/>
      <c r="O70" s="26"/>
      <c r="P70" s="26"/>
      <c r="Q70" s="26"/>
    </row>
    <row r="71" spans="1:17" ht="15">
      <c r="A71" s="12">
        <f>IF(D71&lt;&gt;"",COUNTA($D$7:D71),"---")</f>
        <v>55</v>
      </c>
      <c r="B71" s="12">
        <f>IF(D71&lt;&gt;"",COUNTA($D$67:D71),"---")</f>
        <v>5</v>
      </c>
      <c r="C71" s="12">
        <v>6433</v>
      </c>
      <c r="D71" s="13" t="s">
        <v>96</v>
      </c>
      <c r="E71" s="14">
        <v>46153</v>
      </c>
      <c r="F71" s="13" t="s">
        <v>145</v>
      </c>
      <c r="G71" s="14">
        <v>46153</v>
      </c>
      <c r="H71" s="14">
        <v>46183</v>
      </c>
      <c r="I71" s="13" t="s">
        <v>133</v>
      </c>
      <c r="J71" s="13" t="s">
        <v>111</v>
      </c>
      <c r="K71" s="16">
        <v>46184</v>
      </c>
      <c r="L71" s="16">
        <v>46548</v>
      </c>
      <c r="M71" s="14"/>
      <c r="N71" s="14"/>
      <c r="O71" s="14"/>
      <c r="P71" s="14"/>
      <c r="Q71" s="14"/>
    </row>
    <row r="72" spans="1:17" ht="15.75">
      <c r="A72" s="9" t="s">
        <v>11</v>
      </c>
      <c r="B72" s="9"/>
      <c r="C72" s="9" t="s">
        <v>97</v>
      </c>
      <c r="D72" s="9"/>
      <c r="E72" s="10"/>
      <c r="F72" s="54"/>
      <c r="G72" s="9"/>
      <c r="H72" s="9"/>
      <c r="I72" s="47"/>
      <c r="J72" s="9"/>
      <c r="K72" s="11"/>
      <c r="L72" s="11"/>
      <c r="M72" s="9"/>
      <c r="N72" s="9"/>
      <c r="O72" s="9"/>
      <c r="P72" s="9"/>
      <c r="Q72" s="9"/>
    </row>
    <row r="73" spans="1:17" s="23" customFormat="1" ht="15">
      <c r="A73" s="29">
        <f>IF(D73&lt;&gt;"",COUNTA($D$7:D73),"---")</f>
        <v>56</v>
      </c>
      <c r="B73" s="29">
        <f>IF(D73&lt;&gt;"",COUNTA($D$73:D73),"---")</f>
        <v>1</v>
      </c>
      <c r="C73" s="29">
        <v>4875</v>
      </c>
      <c r="D73" s="18" t="s">
        <v>98</v>
      </c>
      <c r="E73" s="30">
        <v>46091</v>
      </c>
      <c r="F73" s="55"/>
      <c r="G73" s="21"/>
      <c r="H73" s="21"/>
      <c r="I73" s="13" t="s">
        <v>150</v>
      </c>
      <c r="J73" s="13" t="s">
        <v>111</v>
      </c>
      <c r="K73" s="31">
        <v>46091</v>
      </c>
      <c r="L73" s="31">
        <v>46455</v>
      </c>
      <c r="M73" s="21"/>
      <c r="N73" s="21"/>
      <c r="O73" s="21"/>
      <c r="P73" s="21"/>
      <c r="Q73" s="21"/>
    </row>
    <row r="74" spans="1:17" ht="15">
      <c r="A74" s="24">
        <f>IF(D74&lt;&gt;"",COUNTA($D$7:D74),"---")</f>
        <v>57</v>
      </c>
      <c r="B74" s="24">
        <f>IF(D74&lt;&gt;"",COUNTA($D$73:D74),"---")</f>
        <v>2</v>
      </c>
      <c r="C74" s="24">
        <v>6544</v>
      </c>
      <c r="D74" s="13" t="s">
        <v>197</v>
      </c>
      <c r="E74" s="26">
        <v>46188</v>
      </c>
      <c r="F74" s="13" t="s">
        <v>198</v>
      </c>
      <c r="G74" s="14">
        <v>46188</v>
      </c>
      <c r="H74" s="14">
        <v>46248</v>
      </c>
      <c r="I74" s="13"/>
      <c r="J74" s="13"/>
      <c r="K74" s="27"/>
      <c r="L74" s="27"/>
      <c r="M74" s="15"/>
      <c r="N74" s="15"/>
      <c r="O74" s="15"/>
      <c r="P74" s="15"/>
      <c r="Q74" s="15"/>
    </row>
    <row r="75" spans="1:17" ht="15.75">
      <c r="A75" s="9" t="s">
        <v>11</v>
      </c>
      <c r="B75" s="9"/>
      <c r="C75" s="9" t="s">
        <v>99</v>
      </c>
      <c r="D75" s="9"/>
      <c r="E75" s="10"/>
      <c r="F75" s="54"/>
      <c r="G75" s="9"/>
      <c r="H75" s="9"/>
      <c r="I75" s="47"/>
      <c r="J75" s="9"/>
      <c r="K75" s="11"/>
      <c r="L75" s="11"/>
      <c r="M75" s="9"/>
      <c r="N75" s="9"/>
      <c r="O75" s="9"/>
      <c r="P75" s="9"/>
      <c r="Q75" s="9"/>
    </row>
    <row r="76" spans="1:17" ht="15">
      <c r="A76" s="24">
        <f>IF(D76&lt;&gt;"",COUNTA($D$7:D76),"---")</f>
        <v>58</v>
      </c>
      <c r="B76" s="24">
        <f>IF(D76&lt;&gt;"",COUNTA($D$76:D76),"---")</f>
        <v>1</v>
      </c>
      <c r="C76" s="24">
        <v>6335</v>
      </c>
      <c r="D76" s="25" t="s">
        <v>100</v>
      </c>
      <c r="E76" s="26">
        <v>46132</v>
      </c>
      <c r="F76" s="13" t="s">
        <v>146</v>
      </c>
      <c r="G76" s="26">
        <v>46132</v>
      </c>
      <c r="H76" s="26">
        <v>46192</v>
      </c>
      <c r="I76" s="48"/>
      <c r="J76" s="26"/>
      <c r="K76" s="27"/>
      <c r="L76" s="27"/>
      <c r="M76" s="26"/>
      <c r="N76" s="26"/>
      <c r="O76" s="26"/>
      <c r="P76" s="26"/>
      <c r="Q76" s="26"/>
    </row>
    <row r="96" spans="5:12">
      <c r="E96" s="44">
        <f>SUM([1]Sheet1!C3:C18)</f>
        <v>58</v>
      </c>
      <c r="F96" s="51"/>
      <c r="G96" s="44">
        <f>SUM([1]Sheet1!D3:D18)</f>
        <v>20</v>
      </c>
      <c r="H96" s="44"/>
      <c r="I96" s="51"/>
      <c r="J96" s="44"/>
      <c r="K96" s="44">
        <f>SUM([1]Sheet1!E3:E18)</f>
        <v>13</v>
      </c>
      <c r="L96" s="44"/>
    </row>
  </sheetData>
  <autoFilter ref="A4:L76" xr:uid="{00000000-0001-0000-0100-000000000000}"/>
  <mergeCells count="17">
    <mergeCell ref="I5:I6"/>
    <mergeCell ref="K5:L5"/>
    <mergeCell ref="J5:J6"/>
    <mergeCell ref="A2:N2"/>
    <mergeCell ref="A1:D1"/>
    <mergeCell ref="G5:H5"/>
    <mergeCell ref="A5:A6"/>
    <mergeCell ref="B5:B6"/>
    <mergeCell ref="C5:C6"/>
    <mergeCell ref="D5:D6"/>
    <mergeCell ref="E5:E6"/>
    <mergeCell ref="F5:F6"/>
    <mergeCell ref="O5:O6"/>
    <mergeCell ref="P5:P6"/>
    <mergeCell ref="Q5:Q6"/>
    <mergeCell ref="M5:M6"/>
    <mergeCell ref="N5:N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0a674-f1a9-459e-a246-e9e70a6ff57d">
      <Terms xmlns="http://schemas.microsoft.com/office/infopath/2007/PartnerControls"/>
    </lcf76f155ced4ddcb4097134ff3c332f>
    <TaxCatchAll xmlns="9a6f809d-eb03-448d-8a8c-62d351b921f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224F4531241CBE44A4D1CF295F03EA9B" ma:contentTypeVersion="19" ma:contentTypeDescription="Tạo tài liệu mới." ma:contentTypeScope="" ma:versionID="c1188e6b025db5355d4c7eb2c618ccff">
  <xsd:schema xmlns:xsd="http://www.w3.org/2001/XMLSchema" xmlns:xs="http://www.w3.org/2001/XMLSchema" xmlns:p="http://schemas.microsoft.com/office/2006/metadata/properties" xmlns:ns2="56c0a674-f1a9-459e-a246-e9e70a6ff57d" xmlns:ns3="9a6f809d-eb03-448d-8a8c-62d351b921f2" targetNamespace="http://schemas.microsoft.com/office/2006/metadata/properties" ma:root="true" ma:fieldsID="ba7c0c9b936cb3f44765723f395a5190" ns2:_="" ns3:_="">
    <xsd:import namespace="56c0a674-f1a9-459e-a246-e9e70a6ff57d"/>
    <xsd:import namespace="9a6f809d-eb03-448d-8a8c-62d351b921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0a674-f1a9-459e-a246-e9e70a6ff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hẻ Hình ảnh" ma:readOnly="false" ma:fieldId="{5cf76f15-5ced-4ddc-b409-7134ff3c332f}" ma:taxonomyMulti="true" ma:sspId="42110c13-54b5-44d3-a49e-99612ee6be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f809d-eb03-448d-8a8c-62d351b921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b46a561-3488-4b5e-8cb2-dc3cbe4d3744}" ma:internalName="TaxCatchAll" ma:showField="CatchAllData" ma:web="9a6f809d-eb03-448d-8a8c-62d351b921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BF0092-6234-4DBB-9678-A1667B55AB7E}">
  <ds:schemaRefs>
    <ds:schemaRef ds:uri="http://schemas.microsoft.com/office/2006/metadata/properties"/>
    <ds:schemaRef ds:uri="http://schemas.microsoft.com/office/infopath/2007/PartnerControls"/>
    <ds:schemaRef ds:uri="56c0a674-f1a9-459e-a246-e9e70a6ff57d"/>
    <ds:schemaRef ds:uri="9a6f809d-eb03-448d-8a8c-62d351b921f2"/>
  </ds:schemaRefs>
</ds:datastoreItem>
</file>

<file path=customXml/itemProps2.xml><?xml version="1.0" encoding="utf-8"?>
<ds:datastoreItem xmlns:ds="http://schemas.openxmlformats.org/officeDocument/2006/customXml" ds:itemID="{FA2925BC-6BDF-42C4-A0A4-11B89D44BD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c0a674-f1a9-459e-a246-e9e70a6ff57d"/>
    <ds:schemaRef ds:uri="9a6f809d-eb03-448d-8a8c-62d351b921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5D352F-8909-44D4-A821-497CC4F4F2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Phuong, Lai Nguyen Lan</dc:creator>
  <cp:lastModifiedBy>tnec.mkt</cp:lastModifiedBy>
  <dcterms:created xsi:type="dcterms:W3CDTF">2026-06-15T09:01:09Z</dcterms:created>
  <dcterms:modified xsi:type="dcterms:W3CDTF">2026-06-25T01:56:32Z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0x010100224F4531241CBE44A4D1CF295F03EA9B</vt:lpwstr>
  </property>
  <property fmtid="{D5CDD505-2E9C-101B-9397-08002B2CF9AE}" pid="3" name="MediaServiceImageTags">
    <vt:lpwstr/>
  </property>
</Properties>
</file>